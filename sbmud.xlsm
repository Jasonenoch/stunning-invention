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X:\dailywork\"/>
    </mc:Choice>
  </mc:AlternateContent>
  <xr:revisionPtr revIDLastSave="0" documentId="8_{E23FE57D-530F-40D5-832B-30723D080482}" xr6:coauthVersionLast="45" xr6:coauthVersionMax="45" xr10:uidLastSave="{00000000-0000-0000-0000-000000000000}"/>
  <bookViews>
    <workbookView xWindow="-120" yWindow="-120" windowWidth="20730" windowHeight="11160" xr2:uid="{4724DD4E-9F97-458D-A9B5-085551EB6F75}"/>
  </bookViews>
  <sheets>
    <sheet name="REPORT" sheetId="1" r:id="rId1"/>
  </sheets>
  <externalReferences>
    <externalReference r:id="rId2"/>
  </externalReferences>
  <definedNames>
    <definedName name="LastMonth">39813</definedName>
    <definedName name="monthList">[1]Criteria!$A$14:OFFSET([1]Criteria!$A$13,[1]Criteria!$B$5,0)</definedName>
    <definedName name="_xlnm.Print_Area" localSheetId="0">REPORT!$B$1:$L$234</definedName>
    <definedName name="PriorMonth">MONTH(LastMonth)</definedName>
    <definedName name="PriorYear">YEAR(LastMonth)</definedName>
    <definedName name="ReportYear">YEAR(DateSelected)</definedName>
    <definedName name="ThisMonth">39844</definedName>
  </definedNames>
  <calcPr calcId="191029" concurrentCalc="0" concurrentManual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4" i="1" l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195" i="1"/>
  <c r="A196" i="1"/>
  <c r="A197" i="1"/>
  <c r="A198" i="1"/>
  <c r="A199" i="1"/>
  <c r="A185" i="1"/>
  <c r="A186" i="1"/>
  <c r="A187" i="1"/>
  <c r="A188" i="1"/>
  <c r="A189" i="1"/>
  <c r="A169" i="1"/>
  <c r="A170" i="1"/>
  <c r="A171" i="1"/>
  <c r="A172" i="1"/>
  <c r="A173" i="1"/>
  <c r="A174" i="1"/>
  <c r="A175" i="1"/>
  <c r="A176" i="1"/>
  <c r="A177" i="1"/>
  <c r="A178" i="1"/>
  <c r="A179" i="1"/>
  <c r="A153" i="1"/>
  <c r="A154" i="1"/>
  <c r="A155" i="1"/>
  <c r="A156" i="1"/>
  <c r="A157" i="1"/>
  <c r="A158" i="1"/>
  <c r="A159" i="1"/>
  <c r="A160" i="1"/>
  <c r="A161" i="1"/>
  <c r="A162" i="1"/>
  <c r="A163" i="1"/>
  <c r="A142" i="1"/>
  <c r="A143" i="1"/>
  <c r="A144" i="1"/>
  <c r="A145" i="1"/>
  <c r="A146" i="1"/>
  <c r="A147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73" i="1"/>
  <c r="A74" i="1"/>
  <c r="A75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</calcChain>
</file>

<file path=xl/sharedStrings.xml><?xml version="1.0" encoding="utf-8"?>
<sst xmlns="http://schemas.openxmlformats.org/spreadsheetml/2006/main" count="412" uniqueCount="87">
  <si>
    <t>BONDS ISSUED (Matured dates)</t>
  </si>
  <si>
    <t>NET</t>
  </si>
  <si>
    <t>ALL SERIES</t>
  </si>
  <si>
    <t>BONDS</t>
  </si>
  <si>
    <t>PAR AMOUNT</t>
  </si>
  <si>
    <t>PERCENT</t>
  </si>
  <si>
    <t>MATURITY VALUE</t>
  </si>
  <si>
    <t>CHANGE</t>
  </si>
  <si>
    <t>EE</t>
  </si>
  <si>
    <t>SERIES EE</t>
  </si>
  <si>
    <t>E</t>
  </si>
  <si>
    <t>40 YR SERIES E</t>
  </si>
  <si>
    <t xml:space="preserve">30 YR SERIES E </t>
  </si>
  <si>
    <t>SERIES E TOTAL</t>
  </si>
  <si>
    <t>SN</t>
  </si>
  <si>
    <t>SAVINGS NOTES</t>
  </si>
  <si>
    <t>H</t>
  </si>
  <si>
    <t xml:space="preserve">SERIES H </t>
  </si>
  <si>
    <t>HH</t>
  </si>
  <si>
    <t>SERIES HH</t>
  </si>
  <si>
    <t>SERIES A-D</t>
  </si>
  <si>
    <t>F</t>
  </si>
  <si>
    <t>SERIES F</t>
  </si>
  <si>
    <t>G</t>
  </si>
  <si>
    <t>SERIES G</t>
  </si>
  <si>
    <t>J</t>
  </si>
  <si>
    <t>SERIES J</t>
  </si>
  <si>
    <t>K</t>
  </si>
  <si>
    <t>SERIES K</t>
  </si>
  <si>
    <t>GRAND TOTAL</t>
  </si>
  <si>
    <t>SERIES E BONDS (40 YEAR MATURITY)</t>
  </si>
  <si>
    <t>SERIES</t>
  </si>
  <si>
    <t>YEAR</t>
  </si>
  <si>
    <t>40 YR SERIES E TOTAL</t>
  </si>
  <si>
    <t>SERIES E BONDS (30 YEAR MATURITY)</t>
  </si>
  <si>
    <t>Dec. 1965</t>
  </si>
  <si>
    <t>30 YR SERIES E TOTAL</t>
  </si>
  <si>
    <t>SAVINGS NOTES (30 YEAR MATURITY)</t>
  </si>
  <si>
    <t>SAVINGS NOTE TOTAL</t>
  </si>
  <si>
    <t>SERIES H BONDS (30 YEAR MATURITY)</t>
  </si>
  <si>
    <t>SERIES H TOTAL</t>
  </si>
  <si>
    <t>SERIES HH BONDS (20 YEAR MATURITY)</t>
  </si>
  <si>
    <t>SERIES HH TOTAL</t>
  </si>
  <si>
    <t>SERIES A -- D BONDS (10 YEAR MATURITY)</t>
  </si>
  <si>
    <t>A</t>
  </si>
  <si>
    <t>B</t>
  </si>
  <si>
    <t>C</t>
  </si>
  <si>
    <t>D</t>
  </si>
  <si>
    <t>SERIES A-D TOTAL</t>
  </si>
  <si>
    <t>SERIES F BONDS (12 YEAR MATURITY)</t>
  </si>
  <si>
    <t>SERIES F TOTAL</t>
  </si>
  <si>
    <t>SERIES G BONDS (12 YEAR MATURITY)</t>
  </si>
  <si>
    <t>SERIES G TOTAL</t>
  </si>
  <si>
    <t>SERIES J BONDS (12 YEAR MATURITY)</t>
  </si>
  <si>
    <t>SERIES J TOTAL</t>
  </si>
  <si>
    <t>SERIES K BONDS (12 YEAR MATURITY)</t>
  </si>
  <si>
    <t>SERIES K TOTAL</t>
  </si>
  <si>
    <t>SERIES EE BONDS (30 YEAR MATURITY)</t>
  </si>
  <si>
    <t>SERIES EE TOTAL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</si>
  <si>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</si>
  <si>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</si>
  <si>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</si>
  <si>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</si>
  <si>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</si>
  <si>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</si>
  <si>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</si>
  <si>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</si>
  <si>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</si>
  <si>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</si>
  <si>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</si>
  <si>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</si>
  <si>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</si>
  <si>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</si>
  <si>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</si>
  <si>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</si>
  <si>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</si>
  <si>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</si>
  <si>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</si>
  <si>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REPORT DATE:  01/01/2021</t>
  </si>
  <si>
    <t>MATURED UNREDEEMED SAVINGS BONDS AS OF DEC 31, 2020</t>
  </si>
  <si>
    <t>OUTSTANDING AS OF LAST MONTH 11/30/2020</t>
  </si>
  <si>
    <t>OUTSTANDING AS OF THIS MONTH 12/31/2020</t>
  </si>
  <si>
    <t>Jan-Dec 2000</t>
  </si>
  <si>
    <t>Jan-Dec 2001</t>
  </si>
  <si>
    <t>Jan-Dec 2002</t>
  </si>
  <si>
    <t>Jan-Dec 2003</t>
  </si>
  <si>
    <t>Jan-Dec 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</si>
</sst>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164" formatCode="mmm\ yyyy"/>
    <numFmt numFmtId="165" formatCode="0_)"/>
  </numFmts>
  <fonts count="10" x14ac:knownFonts="1">
    <font>
      <sz val="10"/>
      <name val="Arial"/>
    </font>
    <font>
      <b/>
      <sz val="9"/>
      <color indexed="48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sz val="10"/>
      <name val="Arial"/>
      <family val="2"/>
    </font>
    <font>
      <b/>
      <sz val="12"/>
      <color indexed="48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9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/>
    <xf numFmtId="5" fontId="3" fillId="0" borderId="0" xfId="0" applyNumberFormat="1" applyFont="1"/>
    <xf numFmtId="37" fontId="3" fillId="0" borderId="0" xfId="0" applyNumberFormat="1" applyFont="1"/>
    <xf numFmtId="10" fontId="3" fillId="0" borderId="0" xfId="0" applyNumberFormat="1" applyFont="1"/>
    <xf numFmtId="0" fontId="4" fillId="0" borderId="0" xfId="0" applyFont="1"/>
    <xf numFmtId="0" fontId="5" fillId="2" borderId="0" xfId="0" applyFont="1" applyFill="1" applyAlignment="1">
      <alignment horizontal="center"/>
    </xf>
    <xf numFmtId="0" fontId="6" fillId="0" borderId="0" xfId="0" applyFont="1"/>
    <xf numFmtId="0" fontId="0" fillId="2" borderId="0" xfId="0" applyFill="1"/>
    <xf numFmtId="0" fontId="7" fillId="0" borderId="0" xfId="0" applyFont="1"/>
    <xf numFmtId="0" fontId="8" fillId="0" borderId="0" xfId="0" applyFont="1"/>
    <xf numFmtId="5" fontId="8" fillId="0" borderId="0" xfId="0" applyNumberFormat="1" applyFont="1"/>
    <xf numFmtId="0" fontId="9" fillId="3" borderId="1" xfId="0" applyFont="1" applyFill="1" applyBorder="1"/>
    <xf numFmtId="0" fontId="9" fillId="3" borderId="2" xfId="0" applyFont="1" applyFill="1" applyBorder="1"/>
    <xf numFmtId="5" fontId="9" fillId="3" borderId="3" xfId="0" applyNumberFormat="1" applyFont="1" applyFill="1" applyBorder="1" applyAlignment="1">
      <alignment horizontal="centerContinuous"/>
    </xf>
    <xf numFmtId="5" fontId="9" fillId="3" borderId="4" xfId="0" applyNumberFormat="1" applyFont="1" applyFill="1" applyBorder="1" applyAlignment="1">
      <alignment horizontal="centerContinuous"/>
    </xf>
    <xf numFmtId="0" fontId="9" fillId="3" borderId="5" xfId="0" applyFont="1" applyFill="1" applyBorder="1" applyAlignment="1">
      <alignment horizontal="centerContinuous"/>
    </xf>
    <xf numFmtId="0" fontId="9" fillId="3" borderId="6" xfId="0" applyFont="1" applyFill="1" applyBorder="1" applyAlignment="1">
      <alignment horizontal="centerContinuous"/>
    </xf>
    <xf numFmtId="0" fontId="9" fillId="3" borderId="4" xfId="0" applyFont="1" applyFill="1" applyBorder="1" applyAlignment="1">
      <alignment horizontal="centerContinuous"/>
    </xf>
    <xf numFmtId="37" fontId="9" fillId="3" borderId="2" xfId="0" applyNumberFormat="1" applyFont="1" applyFill="1" applyBorder="1" applyAlignment="1">
      <alignment horizontal="center"/>
    </xf>
    <xf numFmtId="0" fontId="9" fillId="3" borderId="7" xfId="0" applyFont="1" applyFill="1" applyBorder="1"/>
    <xf numFmtId="0" fontId="3" fillId="3" borderId="8" xfId="0" applyFont="1" applyFill="1" applyBorder="1"/>
    <xf numFmtId="37" fontId="9" fillId="3" borderId="4" xfId="0" applyNumberFormat="1" applyFont="1" applyFill="1" applyBorder="1" applyAlignment="1">
      <alignment horizontal="center"/>
    </xf>
    <xf numFmtId="5" fontId="9" fillId="3" borderId="4" xfId="0" applyNumberFormat="1" applyFont="1" applyFill="1" applyBorder="1" applyAlignment="1">
      <alignment horizontal="center"/>
    </xf>
    <xf numFmtId="37" fontId="9" fillId="3" borderId="9" xfId="0" applyNumberFormat="1" applyFont="1" applyFill="1" applyBorder="1" applyAlignment="1">
      <alignment horizontal="center"/>
    </xf>
    <xf numFmtId="10" fontId="9" fillId="3" borderId="9" xfId="0" applyNumberFormat="1" applyFont="1" applyFill="1" applyBorder="1" applyAlignment="1">
      <alignment horizontal="center"/>
    </xf>
    <xf numFmtId="5" fontId="9" fillId="3" borderId="9" xfId="0" applyNumberFormat="1" applyFont="1" applyFill="1" applyBorder="1" applyAlignment="1">
      <alignment horizontal="center"/>
    </xf>
    <xf numFmtId="37" fontId="9" fillId="3" borderId="10" xfId="0" applyNumberFormat="1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37" fontId="3" fillId="0" borderId="9" xfId="0" applyNumberFormat="1" applyFont="1" applyBorder="1"/>
    <xf numFmtId="5" fontId="3" fillId="0" borderId="9" xfId="0" applyNumberFormat="1" applyFont="1" applyBorder="1"/>
    <xf numFmtId="10" fontId="3" fillId="0" borderId="9" xfId="0" applyNumberFormat="1" applyFont="1" applyBorder="1"/>
    <xf numFmtId="164" fontId="1" fillId="4" borderId="0" xfId="0" applyNumberFormat="1" applyFont="1" applyFill="1" applyAlignment="1">
      <alignment horizontal="center"/>
    </xf>
    <xf numFmtId="0" fontId="0" fillId="4" borderId="0" xfId="0" applyFill="1"/>
    <xf numFmtId="0" fontId="3" fillId="0" borderId="4" xfId="0" applyFont="1" applyBorder="1"/>
    <xf numFmtId="0" fontId="3" fillId="0" borderId="1" xfId="0" applyFont="1" applyBorder="1"/>
    <xf numFmtId="0" fontId="3" fillId="0" borderId="2" xfId="0" applyFont="1" applyBorder="1"/>
    <xf numFmtId="37" fontId="1" fillId="4" borderId="0" xfId="0" applyNumberFormat="1" applyFont="1" applyFill="1" applyAlignment="1">
      <alignment horizontal="center"/>
    </xf>
    <xf numFmtId="5" fontId="1" fillId="4" borderId="0" xfId="0" applyNumberFormat="1" applyFont="1" applyFill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37" fontId="9" fillId="0" borderId="9" xfId="0" applyNumberFormat="1" applyFont="1" applyBorder="1"/>
    <xf numFmtId="5" fontId="9" fillId="0" borderId="9" xfId="0" applyNumberFormat="1" applyFont="1" applyBorder="1"/>
    <xf numFmtId="10" fontId="9" fillId="0" borderId="9" xfId="0" applyNumberFormat="1" applyFont="1" applyBorder="1"/>
    <xf numFmtId="37" fontId="9" fillId="5" borderId="9" xfId="0" applyNumberFormat="1" applyFont="1" applyFill="1" applyBorder="1"/>
    <xf numFmtId="5" fontId="9" fillId="5" borderId="9" xfId="0" applyNumberFormat="1" applyFont="1" applyFill="1" applyBorder="1"/>
    <xf numFmtId="5" fontId="6" fillId="0" borderId="0" xfId="0" applyNumberFormat="1" applyFont="1"/>
    <xf numFmtId="0" fontId="9" fillId="3" borderId="5" xfId="0" applyFont="1" applyFill="1" applyBorder="1"/>
    <xf numFmtId="0" fontId="9" fillId="3" borderId="6" xfId="0" applyFont="1" applyFill="1" applyBorder="1"/>
    <xf numFmtId="5" fontId="9" fillId="3" borderId="3" xfId="0" applyNumberFormat="1" applyFont="1" applyFill="1" applyBorder="1"/>
    <xf numFmtId="5" fontId="9" fillId="3" borderId="4" xfId="0" applyNumberFormat="1" applyFont="1" applyFill="1" applyBorder="1"/>
    <xf numFmtId="37" fontId="9" fillId="3" borderId="11" xfId="0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5" fontId="3" fillId="0" borderId="4" xfId="0" applyNumberFormat="1" applyFont="1" applyBorder="1"/>
    <xf numFmtId="37" fontId="3" fillId="0" borderId="4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9" fillId="0" borderId="7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5" fontId="9" fillId="0" borderId="4" xfId="0" applyNumberFormat="1" applyFont="1" applyBorder="1"/>
    <xf numFmtId="165" fontId="3" fillId="0" borderId="0" xfId="0" applyNumberFormat="1" applyFont="1"/>
    <xf numFmtId="49" fontId="3" fillId="0" borderId="8" xfId="0" applyNumberFormat="1" applyFont="1" applyBorder="1" applyAlignment="1">
      <alignment horizontal="center"/>
    </xf>
    <xf numFmtId="10" fontId="3" fillId="0" borderId="11" xfId="0" applyNumberFormat="1" applyFont="1" applyBorder="1"/>
    <xf numFmtId="37" fontId="3" fillId="0" borderId="11" xfId="0" applyNumberFormat="1" applyFont="1" applyBorder="1"/>
    <xf numFmtId="0" fontId="3" fillId="0" borderId="7" xfId="0" applyFont="1" applyBorder="1" applyAlignment="1">
      <alignment horizontal="center"/>
    </xf>
    <xf numFmtId="0" fontId="9" fillId="0" borderId="10" xfId="0" applyFont="1" applyBorder="1" applyAlignment="1">
      <alignment horizontal="left"/>
    </xf>
    <xf numFmtId="37" fontId="6" fillId="0" borderId="0" xfId="0" applyNumberFormat="1" applyFont="1"/>
    <xf numFmtId="0" fontId="9" fillId="0" borderId="10" xfId="0" applyFont="1" applyBorder="1"/>
    <xf numFmtId="0" fontId="9" fillId="0" borderId="8" xfId="0" applyFont="1" applyBorder="1" applyAlignment="1">
      <alignment horizontal="centerContinuous"/>
    </xf>
    <xf numFmtId="0" fontId="9" fillId="0" borderId="5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3" fillId="0" borderId="9" xfId="0" applyNumberFormat="1" applyFont="1" applyBorder="1" applyAlignment="1">
      <alignment horizontal="center"/>
    </xf>
    <xf numFmtId="0" fontId="3" fillId="0" borderId="8" xfId="0" applyNumberFormat="1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iscalservice.treasuryecm.gov/fs/retail/Reports/m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Criteria"/>
      <sheetName val="Data"/>
      <sheetName val="Connections"/>
    </sheetNames>
    <sheetDataSet>
      <sheetData sheetId="0" refreshError="1"/>
      <sheetData sheetId="1">
        <row r="5">
          <cell r="B5">
            <v>263</v>
          </cell>
        </row>
        <row r="13">
          <cell r="A13" t="str">
            <v>Available Months</v>
          </cell>
        </row>
        <row r="14">
          <cell r="A14">
            <v>44196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DF780-255D-4B44-8A19-9709B747A64C}">
  <sheetPr transitionEvaluation="1" codeName="Sheet1"/>
  <dimension ref="A1:M234"/>
  <sheetViews>
    <sheetView showGridLines="0" tabSelected="1" defaultGridColor="0" topLeftCell="B1" colorId="22" zoomScaleNormal="100" workbookViewId="0">
      <selection activeCell="C2" sqref="C2"/>
    </sheetView>
  </sheetViews>
  <sheetFormatPr defaultColWidth="8.7109375" defaultRowHeight="12.75" x14ac:dyDescent="0.2"/>
  <cols>
    <col min="1" max="1" width="6.28515625" style="10" hidden="1" customWidth="1"/>
    <col min="2" max="2" width="11.7109375" customWidth="1"/>
    <col min="3" max="3" width="13.5703125" customWidth="1"/>
    <col min="4" max="4" width="14.7109375" customWidth="1"/>
    <col min="5" max="5" width="16.7109375" customWidth="1"/>
    <col min="6" max="6" width="14.7109375" customWidth="1"/>
    <col min="7" max="7" width="11.85546875" customWidth="1"/>
    <col min="8" max="9" width="16.7109375" customWidth="1"/>
    <col min="10" max="10" width="13" customWidth="1"/>
    <col min="11" max="11" width="16.7109375" customWidth="1"/>
    <col min="12" max="12" width="10.7109375" customWidth="1"/>
    <col min="13" max="13" width="11" bestFit="1" customWidth="1"/>
  </cols>
  <sheetData>
    <row r="1" spans="1:13" x14ac:dyDescent="0.2">
      <c r="A1" s="1"/>
      <c r="B1" s="2" t="s">
        <v>78</v>
      </c>
      <c r="C1" s="3"/>
      <c r="D1" s="4"/>
      <c r="E1" s="3"/>
      <c r="F1" s="5"/>
      <c r="G1" s="6"/>
      <c r="H1" s="4"/>
      <c r="I1" s="5"/>
      <c r="J1" s="6"/>
      <c r="K1" s="4"/>
      <c r="L1" s="5"/>
      <c r="M1" s="7"/>
    </row>
    <row r="2" spans="1:13" ht="15.75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</row>
    <row r="3" spans="1:13" ht="15.75" x14ac:dyDescent="0.25">
      <c r="B3" s="11" t="s">
        <v>79</v>
      </c>
      <c r="C3" s="12"/>
      <c r="D3" s="13"/>
      <c r="E3" s="13"/>
      <c r="F3" s="5"/>
      <c r="G3" s="6"/>
      <c r="H3" s="4"/>
      <c r="I3" s="5"/>
      <c r="J3" s="6"/>
      <c r="K3" s="4"/>
      <c r="L3" s="5"/>
      <c r="M3" s="7"/>
    </row>
    <row r="4" spans="1:13" ht="15" customHeight="1" x14ac:dyDescent="0.2">
      <c r="B4" s="3"/>
      <c r="C4" s="3"/>
      <c r="D4" s="5"/>
      <c r="E4" s="6"/>
      <c r="F4" s="5"/>
      <c r="G4" s="6"/>
      <c r="H4" s="4"/>
      <c r="I4" s="5"/>
      <c r="J4" s="6"/>
      <c r="K4" s="4"/>
      <c r="L4" s="5"/>
      <c r="M4" s="7"/>
    </row>
    <row r="5" spans="1:13" x14ac:dyDescent="0.2">
      <c r="A5" s="1"/>
      <c r="B5" s="14"/>
      <c r="C5" s="15"/>
      <c r="D5" s="16" t="s">
        <v>0</v>
      </c>
      <c r="E5" s="17"/>
      <c r="F5" s="18" t="s">
        <v>80</v>
      </c>
      <c r="G5" s="19"/>
      <c r="H5" s="19"/>
      <c r="I5" s="18" t="s">
        <v>81</v>
      </c>
      <c r="J5" s="19"/>
      <c r="K5" s="20"/>
      <c r="L5" s="21" t="s">
        <v>1</v>
      </c>
      <c r="M5" s="7"/>
    </row>
    <row r="6" spans="1:13" x14ac:dyDescent="0.2">
      <c r="A6" s="1"/>
      <c r="B6" s="22" t="s">
        <v>2</v>
      </c>
      <c r="C6" s="23"/>
      <c r="D6" s="24" t="s">
        <v>3</v>
      </c>
      <c r="E6" s="25" t="s">
        <v>4</v>
      </c>
      <c r="F6" s="26" t="s">
        <v>3</v>
      </c>
      <c r="G6" s="27" t="s">
        <v>5</v>
      </c>
      <c r="H6" s="28" t="s">
        <v>6</v>
      </c>
      <c r="I6" s="26" t="s">
        <v>3</v>
      </c>
      <c r="J6" s="27" t="s">
        <v>5</v>
      </c>
      <c r="K6" s="28" t="s">
        <v>6</v>
      </c>
      <c r="L6" s="29" t="s">
        <v>7</v>
      </c>
      <c r="M6" s="7"/>
    </row>
    <row r="7" spans="1:13" x14ac:dyDescent="0.2">
      <c r="A7" s="30" t="s">
        <v>8</v>
      </c>
      <c r="B7" s="31" t="s">
        <v>9</v>
      </c>
      <c r="C7" s="32"/>
      <c r="D7" s="33">
        <v>929607799</v>
      </c>
      <c r="E7" s="34">
        <v>129725984100</v>
      </c>
      <c r="F7" s="33">
        <v>53974715</v>
      </c>
      <c r="G7" s="35">
        <v>5.8061813872540453E-2</v>
      </c>
      <c r="H7" s="34">
        <v>20138483210</v>
      </c>
      <c r="I7" s="33">
        <v>54214008</v>
      </c>
      <c r="J7" s="35">
        <v>5.8319226730153544E-2</v>
      </c>
      <c r="K7" s="34">
        <v>20348462241</v>
      </c>
      <c r="L7" s="33">
        <v>239293</v>
      </c>
      <c r="M7" s="7"/>
    </row>
    <row r="8" spans="1:13" x14ac:dyDescent="0.2">
      <c r="A8" s="30" t="s">
        <v>10</v>
      </c>
      <c r="B8" s="31" t="s">
        <v>11</v>
      </c>
      <c r="C8" s="32"/>
      <c r="D8" s="33">
        <v>2643669567</v>
      </c>
      <c r="E8" s="34">
        <v>157167834975</v>
      </c>
      <c r="F8" s="33">
        <v>5908654</v>
      </c>
      <c r="G8" s="35">
        <v>2.2350198654762514E-3</v>
      </c>
      <c r="H8" s="34">
        <v>1963313103</v>
      </c>
      <c r="I8" s="33">
        <v>5900579</v>
      </c>
      <c r="J8" s="35">
        <v>2.2319653990252254E-3</v>
      </c>
      <c r="K8" s="34">
        <v>1958891409</v>
      </c>
      <c r="L8" s="33">
        <v>-8075</v>
      </c>
      <c r="M8" s="7"/>
    </row>
    <row r="9" spans="1:13" x14ac:dyDescent="0.2">
      <c r="A9" s="36" t="s">
        <v>10</v>
      </c>
      <c r="B9" s="31" t="s">
        <v>12</v>
      </c>
      <c r="C9" s="38"/>
      <c r="D9" s="33">
        <v>1955749133</v>
      </c>
      <c r="E9" s="34">
        <v>111138146275</v>
      </c>
      <c r="F9" s="33">
        <v>17402327</v>
      </c>
      <c r="G9" s="35">
        <v>8.8980364129349707E-3</v>
      </c>
      <c r="H9" s="34">
        <v>5150071126</v>
      </c>
      <c r="I9" s="33">
        <v>17337264</v>
      </c>
      <c r="J9" s="35">
        <v>8.8647688537668908E-3</v>
      </c>
      <c r="K9" s="34">
        <v>5122715799</v>
      </c>
      <c r="L9" s="33">
        <v>-65063</v>
      </c>
      <c r="M9" s="7"/>
    </row>
    <row r="10" spans="1:13" x14ac:dyDescent="0.2">
      <c r="A10" s="37" t="s">
        <v>10</v>
      </c>
      <c r="B10" s="39" t="s">
        <v>13</v>
      </c>
      <c r="C10" s="40"/>
      <c r="D10" s="33">
        <v>4599418700</v>
      </c>
      <c r="E10" s="34">
        <v>268305981250</v>
      </c>
      <c r="F10" s="33">
        <v>23310981</v>
      </c>
      <c r="G10" s="35">
        <v>5.0682450371391501E-3</v>
      </c>
      <c r="H10" s="34">
        <v>7113384229</v>
      </c>
      <c r="I10" s="33">
        <v>23237843</v>
      </c>
      <c r="J10" s="35">
        <v>5.0523434624466781E-3</v>
      </c>
      <c r="K10" s="34">
        <v>7081607208</v>
      </c>
      <c r="L10" s="33">
        <v>-73138</v>
      </c>
      <c r="M10" s="7"/>
    </row>
    <row r="11" spans="1:13" x14ac:dyDescent="0.2">
      <c r="A11" s="30" t="s">
        <v>14</v>
      </c>
      <c r="B11" s="39" t="s">
        <v>15</v>
      </c>
      <c r="C11" s="40"/>
      <c r="D11" s="33">
        <v>30850113</v>
      </c>
      <c r="E11" s="34">
        <v>1063874100</v>
      </c>
      <c r="F11" s="33">
        <v>154582</v>
      </c>
      <c r="G11" s="35">
        <v>5.0107433966287253E-3</v>
      </c>
      <c r="H11" s="34">
        <v>28069322</v>
      </c>
      <c r="I11" s="33">
        <v>154161</v>
      </c>
      <c r="J11" s="35">
        <v>4.997096769143115E-3</v>
      </c>
      <c r="K11" s="34">
        <v>27987971</v>
      </c>
      <c r="L11" s="33">
        <v>-421</v>
      </c>
      <c r="M11" s="7"/>
    </row>
    <row r="12" spans="1:13" x14ac:dyDescent="0.2">
      <c r="A12" s="41" t="s">
        <v>16</v>
      </c>
      <c r="B12" s="31" t="s">
        <v>17</v>
      </c>
      <c r="C12" s="38"/>
      <c r="D12" s="33">
        <v>16386525</v>
      </c>
      <c r="E12" s="34">
        <v>18554048500</v>
      </c>
      <c r="F12" s="33">
        <v>30221</v>
      </c>
      <c r="G12" s="35">
        <v>1.8442592312891233E-3</v>
      </c>
      <c r="H12" s="34">
        <v>28845000</v>
      </c>
      <c r="I12" s="33">
        <v>30182</v>
      </c>
      <c r="J12" s="35">
        <v>1.8418792269868079E-3</v>
      </c>
      <c r="K12" s="34">
        <v>28817500</v>
      </c>
      <c r="L12" s="33">
        <v>-39</v>
      </c>
      <c r="M12" s="7"/>
    </row>
    <row r="13" spans="1:13" x14ac:dyDescent="0.2">
      <c r="A13" s="37" t="s">
        <v>18</v>
      </c>
      <c r="B13" s="31" t="s">
        <v>19</v>
      </c>
      <c r="C13" s="38"/>
      <c r="D13" s="33">
        <v>11340353</v>
      </c>
      <c r="E13" s="34">
        <v>18764988500</v>
      </c>
      <c r="F13" s="33">
        <v>372466</v>
      </c>
      <c r="G13" s="35">
        <v>3.2844303876607722E-2</v>
      </c>
      <c r="H13" s="34">
        <v>506922500</v>
      </c>
      <c r="I13" s="33">
        <v>365994</v>
      </c>
      <c r="J13" s="35">
        <v>3.2273598537893841E-2</v>
      </c>
      <c r="K13" s="34">
        <v>505690500</v>
      </c>
      <c r="L13" s="33">
        <v>-6472</v>
      </c>
      <c r="M13" s="7"/>
    </row>
    <row r="14" spans="1:13" x14ac:dyDescent="0.2">
      <c r="A14" s="30"/>
      <c r="B14" s="39" t="s">
        <v>20</v>
      </c>
      <c r="C14" s="40"/>
      <c r="D14" s="33">
        <v>18559885</v>
      </c>
      <c r="E14" s="34">
        <v>5265102100</v>
      </c>
      <c r="F14" s="33">
        <v>7876</v>
      </c>
      <c r="G14" s="35">
        <v>4.2435607763733452E-4</v>
      </c>
      <c r="H14" s="34">
        <v>850950</v>
      </c>
      <c r="I14" s="33">
        <v>7876</v>
      </c>
      <c r="J14" s="35">
        <v>4.2435607763733452E-4</v>
      </c>
      <c r="K14" s="34">
        <v>850950</v>
      </c>
      <c r="L14" s="33">
        <v>0</v>
      </c>
      <c r="M14" s="7"/>
    </row>
    <row r="15" spans="1:13" x14ac:dyDescent="0.2">
      <c r="A15" s="42" t="s">
        <v>21</v>
      </c>
      <c r="B15" s="39" t="s">
        <v>22</v>
      </c>
      <c r="C15" s="40"/>
      <c r="D15" s="33">
        <v>5624339</v>
      </c>
      <c r="E15" s="34">
        <v>6699540700</v>
      </c>
      <c r="F15" s="33">
        <v>9108</v>
      </c>
      <c r="G15" s="35">
        <v>1.619390296353047E-3</v>
      </c>
      <c r="H15" s="34">
        <v>967325</v>
      </c>
      <c r="I15" s="33">
        <v>9108</v>
      </c>
      <c r="J15" s="35">
        <v>1.619390296353047E-3</v>
      </c>
      <c r="K15" s="34">
        <v>967325</v>
      </c>
      <c r="L15" s="33">
        <v>0</v>
      </c>
      <c r="M15" s="7"/>
    </row>
    <row r="16" spans="1:13" x14ac:dyDescent="0.2">
      <c r="A16" s="10" t="s">
        <v>23</v>
      </c>
      <c r="B16" s="39" t="s">
        <v>24</v>
      </c>
      <c r="C16" s="40"/>
      <c r="D16" s="33">
        <v>17260002</v>
      </c>
      <c r="E16" s="34">
        <v>23437866700</v>
      </c>
      <c r="F16" s="33">
        <v>5558</v>
      </c>
      <c r="G16" s="35">
        <v>3.2201618516614311E-4</v>
      </c>
      <c r="H16" s="34">
        <v>2131700</v>
      </c>
      <c r="I16" s="33">
        <v>5558</v>
      </c>
      <c r="J16" s="35">
        <v>3.2201618516614311E-4</v>
      </c>
      <c r="K16" s="34">
        <v>2131700</v>
      </c>
      <c r="L16" s="33">
        <v>0</v>
      </c>
      <c r="M16" s="7"/>
    </row>
    <row r="17" spans="1:13" x14ac:dyDescent="0.2">
      <c r="A17" s="10" t="s">
        <v>25</v>
      </c>
      <c r="B17" s="39" t="s">
        <v>26</v>
      </c>
      <c r="C17" s="40"/>
      <c r="D17" s="33">
        <v>793354</v>
      </c>
      <c r="E17" s="34">
        <v>1350604800</v>
      </c>
      <c r="F17" s="33">
        <v>1774</v>
      </c>
      <c r="G17" s="35">
        <v>2.2360762030568951E-3</v>
      </c>
      <c r="H17" s="34">
        <v>231525</v>
      </c>
      <c r="I17" s="33">
        <v>1774</v>
      </c>
      <c r="J17" s="35">
        <v>2.2360762030568951E-3</v>
      </c>
      <c r="K17" s="34">
        <v>231525</v>
      </c>
      <c r="L17" s="33">
        <v>0</v>
      </c>
      <c r="M17" s="7"/>
    </row>
    <row r="18" spans="1:13" x14ac:dyDescent="0.2">
      <c r="A18" s="10" t="s">
        <v>27</v>
      </c>
      <c r="B18" s="31" t="s">
        <v>28</v>
      </c>
      <c r="C18" s="38"/>
      <c r="D18" s="33">
        <v>936780</v>
      </c>
      <c r="E18" s="34">
        <v>2583273000</v>
      </c>
      <c r="F18" s="33">
        <v>107</v>
      </c>
      <c r="G18" s="35">
        <v>1.1422105510365294E-4</v>
      </c>
      <c r="H18" s="34">
        <v>86500</v>
      </c>
      <c r="I18" s="33">
        <v>107</v>
      </c>
      <c r="J18" s="35">
        <v>1.1422105510365294E-4</v>
      </c>
      <c r="K18" s="34">
        <v>86500</v>
      </c>
      <c r="L18" s="33">
        <v>0</v>
      </c>
      <c r="M18" s="7"/>
    </row>
    <row r="19" spans="1:13" x14ac:dyDescent="0.2">
      <c r="B19" s="43" t="s">
        <v>29</v>
      </c>
      <c r="C19" s="44"/>
      <c r="D19" s="45">
        <v>5630777850</v>
      </c>
      <c r="E19" s="46">
        <v>475751263750</v>
      </c>
      <c r="F19" s="45">
        <v>77867388</v>
      </c>
      <c r="G19" s="47">
        <v>1.3828886536519994E-2</v>
      </c>
      <c r="H19" s="46">
        <v>27819972261</v>
      </c>
      <c r="I19" s="48">
        <v>78026611</v>
      </c>
      <c r="J19" s="47">
        <v>1.3857163801978087E-2</v>
      </c>
      <c r="K19" s="49">
        <v>27996833420</v>
      </c>
      <c r="L19" s="45">
        <v>159223</v>
      </c>
    </row>
    <row r="20" spans="1:13" x14ac:dyDescent="0.2">
      <c r="B20" s="9"/>
      <c r="C20" s="9"/>
      <c r="D20" s="9"/>
      <c r="E20" s="9"/>
      <c r="F20" s="9"/>
      <c r="G20" s="9"/>
      <c r="H20" s="9"/>
      <c r="I20" s="9"/>
      <c r="J20" s="9"/>
      <c r="K20" s="50"/>
      <c r="L20" s="9"/>
      <c r="M20" s="7"/>
    </row>
    <row r="21" spans="1:13" x14ac:dyDescent="0.2">
      <c r="A21" s="10">
        <v>40</v>
      </c>
      <c r="B21" s="51" t="s">
        <v>30</v>
      </c>
      <c r="C21" s="52"/>
      <c r="D21" s="53"/>
      <c r="E21" s="54"/>
      <c r="F21" s="18" t="s">
        <v>80</v>
      </c>
      <c r="G21" s="19"/>
      <c r="H21" s="20"/>
      <c r="I21" s="18" t="s">
        <v>81</v>
      </c>
      <c r="J21" s="19"/>
      <c r="K21" s="20"/>
      <c r="L21" s="55" t="s">
        <v>1</v>
      </c>
      <c r="M21" s="7"/>
    </row>
    <row r="22" spans="1:13" x14ac:dyDescent="0.2">
      <c r="B22" s="56" t="s">
        <v>31</v>
      </c>
      <c r="C22" s="57" t="s">
        <v>32</v>
      </c>
      <c r="D22" s="26" t="s">
        <v>3</v>
      </c>
      <c r="E22" s="25" t="s">
        <v>4</v>
      </c>
      <c r="F22" s="26" t="s">
        <v>3</v>
      </c>
      <c r="G22" s="27" t="s">
        <v>5</v>
      </c>
      <c r="H22" s="28" t="s">
        <v>6</v>
      </c>
      <c r="I22" s="26" t="s">
        <v>3</v>
      </c>
      <c r="J22" s="27" t="s">
        <v>5</v>
      </c>
      <c r="K22" s="28" t="s">
        <v>6</v>
      </c>
      <c r="L22" s="29" t="s">
        <v>7</v>
      </c>
      <c r="M22" s="7"/>
    </row>
    <row r="23" spans="1:13" x14ac:dyDescent="0.2">
      <c r="A23" s="10">
        <v>1941</v>
      </c>
      <c r="B23" s="58" t="s">
        <v>10</v>
      </c>
      <c r="C23" s="59">
        <v>1941</v>
      </c>
      <c r="D23" s="33">
        <v>15533834</v>
      </c>
      <c r="E23" s="60">
        <v>1783227575</v>
      </c>
      <c r="F23" s="61">
        <v>34275</v>
      </c>
      <c r="G23" s="35">
        <v>2.2064739458397715E-3</v>
      </c>
      <c r="H23" s="34">
        <v>6908235</v>
      </c>
      <c r="I23" s="33">
        <v>34247</v>
      </c>
      <c r="J23" s="35">
        <v>2.2046714288307704E-3</v>
      </c>
      <c r="K23" s="34">
        <v>6890548</v>
      </c>
      <c r="L23" s="33">
        <v>-28</v>
      </c>
      <c r="M23" s="7"/>
    </row>
    <row r="24" spans="1:13" x14ac:dyDescent="0.2">
      <c r="A24" s="10">
        <f>A23+1</f>
        <v>1942</v>
      </c>
      <c r="B24" s="62" t="s">
        <v>10</v>
      </c>
      <c r="C24" s="63">
        <v>1942</v>
      </c>
      <c r="D24" s="33">
        <v>147177997</v>
      </c>
      <c r="E24" s="60">
        <v>8281451175</v>
      </c>
      <c r="F24" s="61">
        <v>328162</v>
      </c>
      <c r="G24" s="35">
        <v>2.2296947009001625E-3</v>
      </c>
      <c r="H24" s="34">
        <v>46718905</v>
      </c>
      <c r="I24" s="33">
        <v>327959</v>
      </c>
      <c r="J24" s="35">
        <v>2.2283154186423667E-3</v>
      </c>
      <c r="K24" s="34">
        <v>46674422</v>
      </c>
      <c r="L24" s="33">
        <v>-203</v>
      </c>
      <c r="M24" s="7"/>
    </row>
    <row r="25" spans="1:13" x14ac:dyDescent="0.2">
      <c r="A25" s="10">
        <f t="shared" ref="A25:A47" si="0">A24+1</f>
        <v>1943</v>
      </c>
      <c r="B25" s="62" t="s">
        <v>10</v>
      </c>
      <c r="C25" s="63">
        <v>1943</v>
      </c>
      <c r="D25" s="33">
        <v>274091322</v>
      </c>
      <c r="E25" s="60">
        <v>13871586310</v>
      </c>
      <c r="F25" s="61">
        <v>525270</v>
      </c>
      <c r="G25" s="35">
        <v>1.9164050731967355E-3</v>
      </c>
      <c r="H25" s="34">
        <v>77272025</v>
      </c>
      <c r="I25" s="33">
        <v>524938</v>
      </c>
      <c r="J25" s="35">
        <v>1.915193798072892E-3</v>
      </c>
      <c r="K25" s="34">
        <v>77207867</v>
      </c>
      <c r="L25" s="33">
        <v>-332</v>
      </c>
      <c r="M25" s="7"/>
    </row>
    <row r="26" spans="1:13" x14ac:dyDescent="0.2">
      <c r="A26" s="10">
        <f t="shared" si="0"/>
        <v>1944</v>
      </c>
      <c r="B26" s="62" t="s">
        <v>10</v>
      </c>
      <c r="C26" s="63">
        <v>1944</v>
      </c>
      <c r="D26" s="33">
        <v>317106076</v>
      </c>
      <c r="E26" s="60">
        <v>16493868260</v>
      </c>
      <c r="F26" s="61">
        <v>613531</v>
      </c>
      <c r="G26" s="35">
        <v>1.9347815965531988E-3</v>
      </c>
      <c r="H26" s="34">
        <v>97691668</v>
      </c>
      <c r="I26" s="33">
        <v>613133</v>
      </c>
      <c r="J26" s="35">
        <v>1.9335264960359826E-3</v>
      </c>
      <c r="K26" s="34">
        <v>97596447</v>
      </c>
      <c r="L26" s="33">
        <v>-398</v>
      </c>
      <c r="M26" s="7"/>
    </row>
    <row r="27" spans="1:13" x14ac:dyDescent="0.2">
      <c r="A27" s="10">
        <f t="shared" si="0"/>
        <v>1945</v>
      </c>
      <c r="B27" s="62" t="s">
        <v>10</v>
      </c>
      <c r="C27" s="63">
        <v>1945</v>
      </c>
      <c r="D27" s="33">
        <v>245505526</v>
      </c>
      <c r="E27" s="60">
        <v>13046226095</v>
      </c>
      <c r="F27" s="61">
        <v>479389</v>
      </c>
      <c r="G27" s="35">
        <v>1.9526607315551829E-3</v>
      </c>
      <c r="H27" s="34">
        <v>81073536</v>
      </c>
      <c r="I27" s="33">
        <v>479216</v>
      </c>
      <c r="J27" s="35">
        <v>1.9519560630989626E-3</v>
      </c>
      <c r="K27" s="34">
        <v>81028331</v>
      </c>
      <c r="L27" s="33">
        <v>-173</v>
      </c>
      <c r="M27" s="7"/>
    </row>
    <row r="28" spans="1:13" x14ac:dyDescent="0.2">
      <c r="A28" s="10">
        <f t="shared" si="0"/>
        <v>1946</v>
      </c>
      <c r="B28" s="62" t="s">
        <v>10</v>
      </c>
      <c r="C28" s="63">
        <v>1946</v>
      </c>
      <c r="D28" s="33">
        <v>84650016</v>
      </c>
      <c r="E28" s="60">
        <v>5771917640</v>
      </c>
      <c r="F28" s="61">
        <v>144272</v>
      </c>
      <c r="G28" s="35">
        <v>1.7043351769714964E-3</v>
      </c>
      <c r="H28" s="34">
        <v>29557450</v>
      </c>
      <c r="I28" s="33">
        <v>144201</v>
      </c>
      <c r="J28" s="35">
        <v>1.703496429345034E-3</v>
      </c>
      <c r="K28" s="34">
        <v>29542317</v>
      </c>
      <c r="L28" s="33">
        <v>-71</v>
      </c>
      <c r="M28" s="7"/>
    </row>
    <row r="29" spans="1:13" x14ac:dyDescent="0.2">
      <c r="A29" s="10">
        <f t="shared" si="0"/>
        <v>1947</v>
      </c>
      <c r="B29" s="62" t="s">
        <v>10</v>
      </c>
      <c r="C29" s="63">
        <v>1947</v>
      </c>
      <c r="D29" s="33">
        <v>61078475</v>
      </c>
      <c r="E29" s="60">
        <v>5398720610</v>
      </c>
      <c r="F29" s="61">
        <v>86133</v>
      </c>
      <c r="G29" s="35">
        <v>1.4102022029855853E-3</v>
      </c>
      <c r="H29" s="34">
        <v>24940849</v>
      </c>
      <c r="I29" s="33">
        <v>86081</v>
      </c>
      <c r="J29" s="35">
        <v>1.4093508392277311E-3</v>
      </c>
      <c r="K29" s="34">
        <v>24910726</v>
      </c>
      <c r="L29" s="33">
        <v>-52</v>
      </c>
      <c r="M29" s="7"/>
    </row>
    <row r="30" spans="1:13" x14ac:dyDescent="0.2">
      <c r="A30" s="10">
        <f t="shared" si="0"/>
        <v>1948</v>
      </c>
      <c r="B30" s="62" t="s">
        <v>10</v>
      </c>
      <c r="C30" s="63">
        <v>1948</v>
      </c>
      <c r="D30" s="33">
        <v>61577319</v>
      </c>
      <c r="E30" s="60">
        <v>5603037375</v>
      </c>
      <c r="F30" s="61">
        <v>81223</v>
      </c>
      <c r="G30" s="35">
        <v>1.3190408630814213E-3</v>
      </c>
      <c r="H30" s="34">
        <v>27153005</v>
      </c>
      <c r="I30" s="33">
        <v>81155</v>
      </c>
      <c r="J30" s="35">
        <v>1.3179365603754201E-3</v>
      </c>
      <c r="K30" s="34">
        <v>27120248</v>
      </c>
      <c r="L30" s="33">
        <v>-68</v>
      </c>
      <c r="M30" s="7"/>
    </row>
    <row r="31" spans="1:13" x14ac:dyDescent="0.2">
      <c r="A31" s="10">
        <f t="shared" si="0"/>
        <v>1949</v>
      </c>
      <c r="B31" s="62" t="s">
        <v>10</v>
      </c>
      <c r="C31" s="63">
        <v>1949</v>
      </c>
      <c r="D31" s="33">
        <v>64794503</v>
      </c>
      <c r="E31" s="60">
        <v>5561006370</v>
      </c>
      <c r="F31" s="61">
        <v>90479</v>
      </c>
      <c r="G31" s="35">
        <v>1.3963993210967295E-3</v>
      </c>
      <c r="H31" s="34">
        <v>31988274</v>
      </c>
      <c r="I31" s="33">
        <v>90399</v>
      </c>
      <c r="J31" s="35">
        <v>1.3951646484579102E-3</v>
      </c>
      <c r="K31" s="34">
        <v>31959682</v>
      </c>
      <c r="L31" s="33">
        <v>-80</v>
      </c>
      <c r="M31" s="7"/>
    </row>
    <row r="32" spans="1:13" x14ac:dyDescent="0.2">
      <c r="A32" s="10">
        <f t="shared" si="0"/>
        <v>1950</v>
      </c>
      <c r="B32" s="58" t="s">
        <v>10</v>
      </c>
      <c r="C32" s="59">
        <v>1950</v>
      </c>
      <c r="D32" s="33">
        <v>63416111</v>
      </c>
      <c r="E32" s="60">
        <v>4894816990</v>
      </c>
      <c r="F32" s="61">
        <v>91382</v>
      </c>
      <c r="G32" s="35">
        <v>1.4409902871527394E-3</v>
      </c>
      <c r="H32" s="34">
        <v>34152460</v>
      </c>
      <c r="I32" s="33">
        <v>91276</v>
      </c>
      <c r="J32" s="35">
        <v>1.4393187876184964E-3</v>
      </c>
      <c r="K32" s="34">
        <v>34109549</v>
      </c>
      <c r="L32" s="33">
        <v>-106</v>
      </c>
      <c r="M32" s="7"/>
    </row>
    <row r="33" spans="1:13" x14ac:dyDescent="0.2">
      <c r="A33" s="10">
        <f t="shared" si="0"/>
        <v>1951</v>
      </c>
      <c r="B33" s="64" t="s">
        <v>10</v>
      </c>
      <c r="C33" s="65">
        <v>1951</v>
      </c>
      <c r="D33" s="33">
        <v>69923481</v>
      </c>
      <c r="E33" s="60">
        <v>4327776600</v>
      </c>
      <c r="F33" s="61">
        <v>107635</v>
      </c>
      <c r="G33" s="35">
        <v>1.5393255378690315E-3</v>
      </c>
      <c r="H33" s="34">
        <v>38401196</v>
      </c>
      <c r="I33" s="33">
        <v>107501</v>
      </c>
      <c r="J33" s="35">
        <v>1.5374091573043967E-3</v>
      </c>
      <c r="K33" s="34">
        <v>38336458</v>
      </c>
      <c r="L33" s="33">
        <v>-134</v>
      </c>
      <c r="M33" s="7"/>
    </row>
    <row r="34" spans="1:13" x14ac:dyDescent="0.2">
      <c r="A34" s="10">
        <f t="shared" si="0"/>
        <v>1952</v>
      </c>
      <c r="B34" s="64" t="s">
        <v>10</v>
      </c>
      <c r="C34" s="65">
        <v>1952</v>
      </c>
      <c r="D34" s="33">
        <v>77093372</v>
      </c>
      <c r="E34" s="60">
        <v>4561017675</v>
      </c>
      <c r="F34" s="61">
        <v>125624</v>
      </c>
      <c r="G34" s="35">
        <v>1.6295045441779353E-3</v>
      </c>
      <c r="H34" s="34">
        <v>44628563</v>
      </c>
      <c r="I34" s="33">
        <v>125451</v>
      </c>
      <c r="J34" s="35">
        <v>1.6272605120969414E-3</v>
      </c>
      <c r="K34" s="34">
        <v>44560596</v>
      </c>
      <c r="L34" s="33">
        <v>-173</v>
      </c>
      <c r="M34" s="7"/>
    </row>
    <row r="35" spans="1:13" x14ac:dyDescent="0.2">
      <c r="A35" s="10">
        <f t="shared" si="0"/>
        <v>1953</v>
      </c>
      <c r="B35" s="64" t="s">
        <v>10</v>
      </c>
      <c r="C35" s="65">
        <v>1953</v>
      </c>
      <c r="D35" s="33">
        <v>83880950</v>
      </c>
      <c r="E35" s="60">
        <v>5215142575</v>
      </c>
      <c r="F35" s="61">
        <v>140824</v>
      </c>
      <c r="G35" s="35">
        <v>1.6788555685170472E-3</v>
      </c>
      <c r="H35" s="34">
        <v>51082345</v>
      </c>
      <c r="I35" s="33">
        <v>140567</v>
      </c>
      <c r="J35" s="35">
        <v>1.675791702406804E-3</v>
      </c>
      <c r="K35" s="34">
        <v>50970456</v>
      </c>
      <c r="L35" s="33">
        <v>-257</v>
      </c>
      <c r="M35" s="7"/>
    </row>
    <row r="36" spans="1:13" x14ac:dyDescent="0.2">
      <c r="A36" s="10">
        <f t="shared" si="0"/>
        <v>1954</v>
      </c>
      <c r="B36" s="64" t="s">
        <v>10</v>
      </c>
      <c r="C36" s="65">
        <v>1954</v>
      </c>
      <c r="D36" s="33">
        <v>84126308</v>
      </c>
      <c r="E36" s="60">
        <v>5358585100</v>
      </c>
      <c r="F36" s="61">
        <v>145036</v>
      </c>
      <c r="G36" s="35">
        <v>1.7240266861586271E-3</v>
      </c>
      <c r="H36" s="34">
        <v>57080386</v>
      </c>
      <c r="I36" s="33">
        <v>144765</v>
      </c>
      <c r="J36" s="35">
        <v>1.720805339514008E-3</v>
      </c>
      <c r="K36" s="34">
        <v>56916628</v>
      </c>
      <c r="L36" s="33">
        <v>-271</v>
      </c>
      <c r="M36" s="7"/>
    </row>
    <row r="37" spans="1:13" x14ac:dyDescent="0.2">
      <c r="A37" s="10">
        <f t="shared" si="0"/>
        <v>1955</v>
      </c>
      <c r="B37" s="64" t="s">
        <v>10</v>
      </c>
      <c r="C37" s="65">
        <v>1955</v>
      </c>
      <c r="D37" s="33">
        <v>88041041</v>
      </c>
      <c r="E37" s="60">
        <v>5646147400</v>
      </c>
      <c r="F37" s="61">
        <v>165956</v>
      </c>
      <c r="G37" s="35">
        <v>1.8849845267049944E-3</v>
      </c>
      <c r="H37" s="34">
        <v>67463816</v>
      </c>
      <c r="I37" s="33">
        <v>165610</v>
      </c>
      <c r="J37" s="35">
        <v>1.8810545413700866E-3</v>
      </c>
      <c r="K37" s="34">
        <v>67290779</v>
      </c>
      <c r="L37" s="33">
        <v>-346</v>
      </c>
      <c r="M37" s="7"/>
    </row>
    <row r="38" spans="1:13" x14ac:dyDescent="0.2">
      <c r="A38" s="10">
        <f t="shared" si="0"/>
        <v>1956</v>
      </c>
      <c r="B38" s="64" t="s">
        <v>10</v>
      </c>
      <c r="C38" s="65">
        <v>1956</v>
      </c>
      <c r="D38" s="33">
        <v>90877143</v>
      </c>
      <c r="E38" s="60">
        <v>5526628875</v>
      </c>
      <c r="F38" s="61">
        <v>183516</v>
      </c>
      <c r="G38" s="35">
        <v>2.0193856666466726E-3</v>
      </c>
      <c r="H38" s="34">
        <v>76728459</v>
      </c>
      <c r="I38" s="33">
        <v>183134</v>
      </c>
      <c r="J38" s="35">
        <v>2.0151821894312852E-3</v>
      </c>
      <c r="K38" s="34">
        <v>76475995</v>
      </c>
      <c r="L38" s="33">
        <v>-382</v>
      </c>
      <c r="M38" s="7"/>
    </row>
    <row r="39" spans="1:13" x14ac:dyDescent="0.2">
      <c r="A39" s="10">
        <f t="shared" si="0"/>
        <v>1957</v>
      </c>
      <c r="B39" s="64" t="s">
        <v>10</v>
      </c>
      <c r="C39" s="65">
        <v>1957</v>
      </c>
      <c r="D39" s="33">
        <v>90523358</v>
      </c>
      <c r="E39" s="60">
        <v>5170467950</v>
      </c>
      <c r="F39" s="61">
        <v>214024</v>
      </c>
      <c r="G39" s="35">
        <v>2.3642958538944167E-3</v>
      </c>
      <c r="H39" s="34">
        <v>86121729</v>
      </c>
      <c r="I39" s="33">
        <v>213711</v>
      </c>
      <c r="J39" s="35">
        <v>2.3608381827815092E-3</v>
      </c>
      <c r="K39" s="34">
        <v>85972983</v>
      </c>
      <c r="L39" s="33">
        <v>-313</v>
      </c>
      <c r="M39" s="7"/>
    </row>
    <row r="40" spans="1:13" x14ac:dyDescent="0.2">
      <c r="A40" s="10">
        <f t="shared" si="0"/>
        <v>1958</v>
      </c>
      <c r="B40" s="64" t="s">
        <v>10</v>
      </c>
      <c r="C40" s="65">
        <v>1958</v>
      </c>
      <c r="D40" s="33">
        <v>86030714</v>
      </c>
      <c r="E40" s="60">
        <v>5054709050</v>
      </c>
      <c r="F40" s="61">
        <v>235612</v>
      </c>
      <c r="G40" s="35">
        <v>2.7386963218740692E-3</v>
      </c>
      <c r="H40" s="34">
        <v>85844946</v>
      </c>
      <c r="I40" s="33">
        <v>235369</v>
      </c>
      <c r="J40" s="35">
        <v>2.7358717492452752E-3</v>
      </c>
      <c r="K40" s="34">
        <v>85721344</v>
      </c>
      <c r="L40" s="33">
        <v>-243</v>
      </c>
      <c r="M40" s="7"/>
    </row>
    <row r="41" spans="1:13" x14ac:dyDescent="0.2">
      <c r="A41" s="10">
        <f t="shared" si="0"/>
        <v>1959</v>
      </c>
      <c r="B41" s="64" t="s">
        <v>10</v>
      </c>
      <c r="C41" s="65">
        <v>1959</v>
      </c>
      <c r="D41" s="33">
        <v>85933690</v>
      </c>
      <c r="E41" s="60">
        <v>4806681450</v>
      </c>
      <c r="F41" s="61">
        <v>220952</v>
      </c>
      <c r="G41" s="35">
        <v>2.5711918108020267E-3</v>
      </c>
      <c r="H41" s="34">
        <v>84798090</v>
      </c>
      <c r="I41" s="33">
        <v>220629</v>
      </c>
      <c r="J41" s="35">
        <v>2.5674330987066887E-3</v>
      </c>
      <c r="K41" s="34">
        <v>84604015</v>
      </c>
      <c r="L41" s="33">
        <v>-323</v>
      </c>
      <c r="M41" s="7"/>
    </row>
    <row r="42" spans="1:13" x14ac:dyDescent="0.2">
      <c r="A42" s="10">
        <f t="shared" si="0"/>
        <v>1960</v>
      </c>
      <c r="B42" s="64" t="s">
        <v>10</v>
      </c>
      <c r="C42" s="81">
        <v>1960</v>
      </c>
      <c r="D42" s="33">
        <v>87668900</v>
      </c>
      <c r="E42" s="60">
        <v>4865044075</v>
      </c>
      <c r="F42" s="61">
        <v>234142</v>
      </c>
      <c r="G42" s="35">
        <v>2.6707532545748834E-3</v>
      </c>
      <c r="H42" s="34">
        <v>97067118</v>
      </c>
      <c r="I42" s="33">
        <v>233708</v>
      </c>
      <c r="J42" s="35">
        <v>2.6658028103466566E-3</v>
      </c>
      <c r="K42" s="34">
        <v>96816358</v>
      </c>
      <c r="L42" s="33">
        <v>-434</v>
      </c>
      <c r="M42" s="7"/>
    </row>
    <row r="43" spans="1:13" x14ac:dyDescent="0.2">
      <c r="A43" s="10">
        <f t="shared" si="0"/>
        <v>1961</v>
      </c>
      <c r="B43" s="64" t="s">
        <v>10</v>
      </c>
      <c r="C43" s="81">
        <v>1961</v>
      </c>
      <c r="D43" s="33">
        <v>87339293</v>
      </c>
      <c r="E43" s="60">
        <v>4974025950</v>
      </c>
      <c r="F43" s="61">
        <v>249267</v>
      </c>
      <c r="G43" s="35">
        <v>2.8540075312952213E-3</v>
      </c>
      <c r="H43" s="34">
        <v>115797275</v>
      </c>
      <c r="I43" s="33">
        <v>248761</v>
      </c>
      <c r="J43" s="35">
        <v>2.8482140335163923E-3</v>
      </c>
      <c r="K43" s="34">
        <v>115479025</v>
      </c>
      <c r="L43" s="33">
        <v>-506</v>
      </c>
      <c r="M43" s="7"/>
    </row>
    <row r="44" spans="1:13" x14ac:dyDescent="0.2">
      <c r="A44" s="10">
        <f t="shared" si="0"/>
        <v>1962</v>
      </c>
      <c r="B44" s="64" t="s">
        <v>10</v>
      </c>
      <c r="C44" s="81">
        <v>1962</v>
      </c>
      <c r="D44" s="33">
        <v>88839858</v>
      </c>
      <c r="E44" s="60">
        <v>4891723800</v>
      </c>
      <c r="F44" s="61">
        <v>292986</v>
      </c>
      <c r="G44" s="35">
        <v>3.2979116198047051E-3</v>
      </c>
      <c r="H44" s="34">
        <v>138613632</v>
      </c>
      <c r="I44" s="33">
        <v>292366</v>
      </c>
      <c r="J44" s="35">
        <v>3.2909327702887593E-3</v>
      </c>
      <c r="K44" s="34">
        <v>138210297</v>
      </c>
      <c r="L44" s="33">
        <v>-620</v>
      </c>
      <c r="M44" s="7"/>
    </row>
    <row r="45" spans="1:13" x14ac:dyDescent="0.2">
      <c r="A45" s="10">
        <f t="shared" si="0"/>
        <v>1963</v>
      </c>
      <c r="B45" s="64" t="s">
        <v>10</v>
      </c>
      <c r="C45" s="81">
        <v>1963</v>
      </c>
      <c r="D45" s="33">
        <v>94698283</v>
      </c>
      <c r="E45" s="60">
        <v>5532030725</v>
      </c>
      <c r="F45" s="61">
        <v>352035</v>
      </c>
      <c r="G45" s="35">
        <v>3.7174380447848247E-3</v>
      </c>
      <c r="H45" s="34">
        <v>191859374</v>
      </c>
      <c r="I45" s="33">
        <v>351410</v>
      </c>
      <c r="J45" s="35">
        <v>3.7108381363155233E-3</v>
      </c>
      <c r="K45" s="34">
        <v>191339651</v>
      </c>
      <c r="L45" s="33">
        <v>-625</v>
      </c>
      <c r="M45" s="7"/>
    </row>
    <row r="46" spans="1:13" x14ac:dyDescent="0.2">
      <c r="A46" s="10">
        <f t="shared" si="0"/>
        <v>1964</v>
      </c>
      <c r="B46" s="64" t="s">
        <v>10</v>
      </c>
      <c r="C46" s="81">
        <v>1964</v>
      </c>
      <c r="D46" s="33">
        <v>100307267</v>
      </c>
      <c r="E46" s="60">
        <v>5524983000</v>
      </c>
      <c r="F46" s="61">
        <v>392345</v>
      </c>
      <c r="G46" s="35">
        <v>3.9114314618899941E-3</v>
      </c>
      <c r="H46" s="34">
        <v>204233071</v>
      </c>
      <c r="I46" s="33">
        <v>391399</v>
      </c>
      <c r="J46" s="35">
        <v>3.9020004403070817E-3</v>
      </c>
      <c r="K46" s="34">
        <v>203607766</v>
      </c>
      <c r="L46" s="33">
        <v>-946</v>
      </c>
      <c r="M46" s="7"/>
    </row>
    <row r="47" spans="1:13" x14ac:dyDescent="0.2">
      <c r="A47" s="10">
        <f t="shared" si="0"/>
        <v>1965</v>
      </c>
      <c r="B47" s="58" t="s">
        <v>10</v>
      </c>
      <c r="C47" s="81">
        <v>1965</v>
      </c>
      <c r="D47" s="33">
        <v>93454730</v>
      </c>
      <c r="E47" s="60">
        <v>5007012350</v>
      </c>
      <c r="F47" s="61">
        <v>374584</v>
      </c>
      <c r="G47" s="35">
        <v>4.0081866375302781E-3</v>
      </c>
      <c r="H47" s="34">
        <v>166136696</v>
      </c>
      <c r="I47" s="33">
        <v>373593</v>
      </c>
      <c r="J47" s="35">
        <v>3.9975825728670979E-3</v>
      </c>
      <c r="K47" s="34">
        <v>165548921</v>
      </c>
      <c r="L47" s="33">
        <v>-991</v>
      </c>
      <c r="M47" s="7"/>
    </row>
    <row r="48" spans="1:13" x14ac:dyDescent="0.2">
      <c r="B48" s="66" t="s">
        <v>33</v>
      </c>
      <c r="C48" s="67"/>
      <c r="D48" s="45">
        <v>2643669567</v>
      </c>
      <c r="E48" s="68">
        <v>157167834975</v>
      </c>
      <c r="F48" s="45">
        <v>5908654</v>
      </c>
      <c r="G48" s="47">
        <v>2.2350198654762514E-3</v>
      </c>
      <c r="H48" s="46">
        <v>1963313103</v>
      </c>
      <c r="I48" s="45">
        <v>5900579</v>
      </c>
      <c r="J48" s="47">
        <v>2.2319653990252254E-3</v>
      </c>
      <c r="K48" s="46">
        <v>1958891409</v>
      </c>
      <c r="L48" s="45">
        <v>-8075</v>
      </c>
      <c r="M48" s="7"/>
    </row>
    <row r="49" spans="1:13" x14ac:dyDescent="0.2">
      <c r="B49" s="3"/>
      <c r="C49" s="3"/>
      <c r="D49" s="69"/>
      <c r="E49" s="69"/>
      <c r="F49" s="5"/>
      <c r="G49" s="6"/>
      <c r="H49" s="4"/>
      <c r="I49" s="5"/>
      <c r="J49" s="6"/>
      <c r="K49" s="4"/>
      <c r="L49" s="5"/>
      <c r="M49" s="7"/>
    </row>
    <row r="50" spans="1:13" x14ac:dyDescent="0.2">
      <c r="A50" s="10">
        <v>30</v>
      </c>
      <c r="B50" s="51" t="s">
        <v>34</v>
      </c>
      <c r="C50" s="52"/>
      <c r="D50" s="53"/>
      <c r="E50" s="54"/>
      <c r="F50" s="18" t="s">
        <v>80</v>
      </c>
      <c r="G50" s="19"/>
      <c r="H50" s="20"/>
      <c r="I50" s="18" t="s">
        <v>81</v>
      </c>
      <c r="J50" s="19"/>
      <c r="K50" s="20"/>
      <c r="L50" s="55" t="s">
        <v>1</v>
      </c>
      <c r="M50" s="7"/>
    </row>
    <row r="51" spans="1:13" x14ac:dyDescent="0.2">
      <c r="B51" s="56" t="s">
        <v>31</v>
      </c>
      <c r="C51" s="57" t="s">
        <v>32</v>
      </c>
      <c r="D51" s="26" t="s">
        <v>3</v>
      </c>
      <c r="E51" s="25" t="s">
        <v>4</v>
      </c>
      <c r="F51" s="26" t="s">
        <v>3</v>
      </c>
      <c r="G51" s="27" t="s">
        <v>5</v>
      </c>
      <c r="H51" s="28" t="s">
        <v>6</v>
      </c>
      <c r="I51" s="26" t="s">
        <v>3</v>
      </c>
      <c r="J51" s="27" t="s">
        <v>5</v>
      </c>
      <c r="K51" s="28" t="s">
        <v>6</v>
      </c>
      <c r="L51" s="29" t="s">
        <v>7</v>
      </c>
      <c r="M51" s="7"/>
    </row>
    <row r="52" spans="1:13" x14ac:dyDescent="0.2">
      <c r="A52" s="10">
        <v>1965</v>
      </c>
      <c r="B52" s="64" t="s">
        <v>10</v>
      </c>
      <c r="C52" s="70" t="s">
        <v>35</v>
      </c>
      <c r="D52" s="61">
        <v>10149102</v>
      </c>
      <c r="E52" s="60">
        <v>516124325</v>
      </c>
      <c r="F52" s="61">
        <v>54419</v>
      </c>
      <c r="G52" s="71">
        <v>5.3619522200092189E-3</v>
      </c>
      <c r="H52" s="34">
        <v>11939887</v>
      </c>
      <c r="I52" s="33">
        <v>54327</v>
      </c>
      <c r="J52" s="71">
        <v>5.3528873786074863E-3</v>
      </c>
      <c r="K52" s="34">
        <v>11921054</v>
      </c>
      <c r="L52" s="72">
        <v>-92</v>
      </c>
      <c r="M52" s="7"/>
    </row>
    <row r="53" spans="1:13" x14ac:dyDescent="0.2">
      <c r="A53" s="10">
        <f>A52+1</f>
        <v>1966</v>
      </c>
      <c r="B53" s="64" t="s">
        <v>10</v>
      </c>
      <c r="C53" s="65">
        <v>1966</v>
      </c>
      <c r="D53" s="61">
        <v>111972527</v>
      </c>
      <c r="E53" s="60">
        <v>6029679425</v>
      </c>
      <c r="F53" s="61">
        <v>507472</v>
      </c>
      <c r="G53" s="71">
        <v>4.5321117027215078E-3</v>
      </c>
      <c r="H53" s="34">
        <v>125521287</v>
      </c>
      <c r="I53" s="33">
        <v>506420</v>
      </c>
      <c r="J53" s="71">
        <v>4.5227165409958102E-3</v>
      </c>
      <c r="K53" s="34">
        <v>125181062</v>
      </c>
      <c r="L53" s="72">
        <v>-1052</v>
      </c>
      <c r="M53" s="7"/>
    </row>
    <row r="54" spans="1:13" x14ac:dyDescent="0.2">
      <c r="A54" s="10">
        <f t="shared" ref="A54:A67" si="1">A53+1</f>
        <v>1967</v>
      </c>
      <c r="B54" s="64" t="s">
        <v>10</v>
      </c>
      <c r="C54" s="65">
        <v>1967</v>
      </c>
      <c r="D54" s="61">
        <v>119503015</v>
      </c>
      <c r="E54" s="60">
        <v>6106807125</v>
      </c>
      <c r="F54" s="61">
        <v>599493</v>
      </c>
      <c r="G54" s="71">
        <v>5.0165512560498993E-3</v>
      </c>
      <c r="H54" s="34">
        <v>145656654</v>
      </c>
      <c r="I54" s="33">
        <v>598136</v>
      </c>
      <c r="J54" s="71">
        <v>5.0051958940115441E-3</v>
      </c>
      <c r="K54" s="34">
        <v>145200421</v>
      </c>
      <c r="L54" s="72">
        <v>-1357</v>
      </c>
      <c r="M54" s="7"/>
    </row>
    <row r="55" spans="1:13" x14ac:dyDescent="0.2">
      <c r="A55" s="10">
        <f t="shared" si="1"/>
        <v>1968</v>
      </c>
      <c r="B55" s="64" t="s">
        <v>10</v>
      </c>
      <c r="C55" s="65">
        <v>1968</v>
      </c>
      <c r="D55" s="61">
        <v>121444547</v>
      </c>
      <c r="E55" s="60">
        <v>5925047450</v>
      </c>
      <c r="F55" s="61">
        <v>649617</v>
      </c>
      <c r="G55" s="71">
        <v>5.3490833145435502E-3</v>
      </c>
      <c r="H55" s="34">
        <v>159664491</v>
      </c>
      <c r="I55" s="33">
        <v>648077</v>
      </c>
      <c r="J55" s="71">
        <v>5.3364026299179985E-3</v>
      </c>
      <c r="K55" s="34">
        <v>159304719</v>
      </c>
      <c r="L55" s="72">
        <v>-1540</v>
      </c>
      <c r="M55" s="7"/>
    </row>
    <row r="56" spans="1:13" x14ac:dyDescent="0.2">
      <c r="A56" s="10">
        <f t="shared" si="1"/>
        <v>1969</v>
      </c>
      <c r="B56" s="64" t="s">
        <v>10</v>
      </c>
      <c r="C56" s="58">
        <v>1969</v>
      </c>
      <c r="D56" s="61">
        <v>119793729</v>
      </c>
      <c r="E56" s="60">
        <v>5656724975</v>
      </c>
      <c r="F56" s="61">
        <v>659959</v>
      </c>
      <c r="G56" s="71">
        <v>5.5091281113721739E-3</v>
      </c>
      <c r="H56" s="34">
        <v>164117869</v>
      </c>
      <c r="I56" s="33">
        <v>658254</v>
      </c>
      <c r="J56" s="71">
        <v>5.4948953129257709E-3</v>
      </c>
      <c r="K56" s="34">
        <v>163581994</v>
      </c>
      <c r="L56" s="72">
        <v>-1705</v>
      </c>
      <c r="M56" s="7"/>
    </row>
    <row r="57" spans="1:13" x14ac:dyDescent="0.2">
      <c r="A57" s="10">
        <f t="shared" si="1"/>
        <v>1970</v>
      </c>
      <c r="B57" s="64" t="s">
        <v>10</v>
      </c>
      <c r="C57" s="80">
        <v>1970</v>
      </c>
      <c r="D57" s="61">
        <v>122282376</v>
      </c>
      <c r="E57" s="60">
        <v>6013069625</v>
      </c>
      <c r="F57" s="61">
        <v>733523</v>
      </c>
      <c r="G57" s="71">
        <v>5.998599503823838E-3</v>
      </c>
      <c r="H57" s="34">
        <v>194310283</v>
      </c>
      <c r="I57" s="33">
        <v>731343</v>
      </c>
      <c r="J57" s="71">
        <v>5.9807719143435681E-3</v>
      </c>
      <c r="K57" s="34">
        <v>193574548</v>
      </c>
      <c r="L57" s="72">
        <v>-2180</v>
      </c>
      <c r="M57" s="7"/>
    </row>
    <row r="58" spans="1:13" x14ac:dyDescent="0.2">
      <c r="A58" s="10">
        <f t="shared" si="1"/>
        <v>1971</v>
      </c>
      <c r="B58" s="64" t="s">
        <v>10</v>
      </c>
      <c r="C58" s="80">
        <v>1971</v>
      </c>
      <c r="D58" s="61">
        <v>130002184</v>
      </c>
      <c r="E58" s="60">
        <v>7072612800</v>
      </c>
      <c r="F58" s="61">
        <v>809413</v>
      </c>
      <c r="G58" s="71">
        <v>6.2261492468464992E-3</v>
      </c>
      <c r="H58" s="34">
        <v>220664730</v>
      </c>
      <c r="I58" s="33">
        <v>807018</v>
      </c>
      <c r="J58" s="71">
        <v>6.207726479425915E-3</v>
      </c>
      <c r="K58" s="34">
        <v>219808719</v>
      </c>
      <c r="L58" s="72">
        <v>-2395</v>
      </c>
      <c r="M58" s="7"/>
    </row>
    <row r="59" spans="1:13" x14ac:dyDescent="0.2">
      <c r="A59" s="10">
        <f t="shared" si="1"/>
        <v>1972</v>
      </c>
      <c r="B59" s="64" t="s">
        <v>10</v>
      </c>
      <c r="C59" s="80">
        <v>1972</v>
      </c>
      <c r="D59" s="61">
        <v>137420567</v>
      </c>
      <c r="E59" s="60">
        <v>7996016100</v>
      </c>
      <c r="F59" s="61">
        <v>1008817</v>
      </c>
      <c r="G59" s="71">
        <v>7.3410918177917285E-3</v>
      </c>
      <c r="H59" s="34">
        <v>285238061</v>
      </c>
      <c r="I59" s="33">
        <v>1005686</v>
      </c>
      <c r="J59" s="71">
        <v>7.3183077464670917E-3</v>
      </c>
      <c r="K59" s="34">
        <v>284095264</v>
      </c>
      <c r="L59" s="72">
        <v>-3131</v>
      </c>
      <c r="M59" s="7"/>
    </row>
    <row r="60" spans="1:13" x14ac:dyDescent="0.2">
      <c r="A60" s="10">
        <f t="shared" si="1"/>
        <v>1973</v>
      </c>
      <c r="B60" s="64" t="s">
        <v>10</v>
      </c>
      <c r="C60" s="80">
        <v>1973</v>
      </c>
      <c r="D60" s="61">
        <v>141856585</v>
      </c>
      <c r="E60" s="60">
        <v>8132923600</v>
      </c>
      <c r="F60" s="61">
        <v>1056320</v>
      </c>
      <c r="G60" s="71">
        <v>7.446393835013017E-3</v>
      </c>
      <c r="H60" s="34">
        <v>317205508</v>
      </c>
      <c r="I60" s="33">
        <v>1052731</v>
      </c>
      <c r="J60" s="71">
        <v>7.4210936348143445E-3</v>
      </c>
      <c r="K60" s="34">
        <v>315612783</v>
      </c>
      <c r="L60" s="72">
        <v>-3589</v>
      </c>
      <c r="M60" s="7"/>
    </row>
    <row r="61" spans="1:13" x14ac:dyDescent="0.2">
      <c r="A61" s="10">
        <f t="shared" si="1"/>
        <v>1974</v>
      </c>
      <c r="B61" s="64" t="s">
        <v>10</v>
      </c>
      <c r="C61" s="80">
        <v>1974</v>
      </c>
      <c r="D61" s="61">
        <v>143062570</v>
      </c>
      <c r="E61" s="60">
        <v>8468440575</v>
      </c>
      <c r="F61" s="61">
        <v>1148596</v>
      </c>
      <c r="G61" s="71">
        <v>8.0286269147828108E-3</v>
      </c>
      <c r="H61" s="34">
        <v>350289760</v>
      </c>
      <c r="I61" s="33">
        <v>1144517</v>
      </c>
      <c r="J61" s="71">
        <v>8.0001149147537337E-3</v>
      </c>
      <c r="K61" s="34">
        <v>348472592</v>
      </c>
      <c r="L61" s="72">
        <v>-4079</v>
      </c>
      <c r="M61" s="7"/>
    </row>
    <row r="62" spans="1:13" x14ac:dyDescent="0.2">
      <c r="A62" s="10">
        <f t="shared" si="1"/>
        <v>1975</v>
      </c>
      <c r="B62" s="64" t="s">
        <v>10</v>
      </c>
      <c r="C62" s="80">
        <v>1975</v>
      </c>
      <c r="D62" s="61">
        <v>146081233</v>
      </c>
      <c r="E62" s="60">
        <v>8935810650</v>
      </c>
      <c r="F62" s="61">
        <v>1336671</v>
      </c>
      <c r="G62" s="71">
        <v>9.150189744085744E-3</v>
      </c>
      <c r="H62" s="34">
        <v>442164598</v>
      </c>
      <c r="I62" s="33">
        <v>1331226</v>
      </c>
      <c r="J62" s="71">
        <v>9.1129159623125587E-3</v>
      </c>
      <c r="K62" s="34">
        <v>439774571</v>
      </c>
      <c r="L62" s="72">
        <v>-5445</v>
      </c>
      <c r="M62" s="7"/>
    </row>
    <row r="63" spans="1:13" x14ac:dyDescent="0.2">
      <c r="A63" s="10">
        <f t="shared" si="1"/>
        <v>1976</v>
      </c>
      <c r="B63" s="64" t="s">
        <v>10</v>
      </c>
      <c r="C63" s="80">
        <v>1976</v>
      </c>
      <c r="D63" s="61">
        <v>153251179</v>
      </c>
      <c r="E63" s="60">
        <v>9680278400</v>
      </c>
      <c r="F63" s="61">
        <v>1837694</v>
      </c>
      <c r="G63" s="71">
        <v>1.1991385723694823E-2</v>
      </c>
      <c r="H63" s="34">
        <v>611795741</v>
      </c>
      <c r="I63" s="33">
        <v>1831151</v>
      </c>
      <c r="J63" s="71">
        <v>1.1948691109254044E-2</v>
      </c>
      <c r="K63" s="34">
        <v>608371015</v>
      </c>
      <c r="L63" s="72">
        <v>-6543</v>
      </c>
      <c r="M63" s="7"/>
    </row>
    <row r="64" spans="1:13" x14ac:dyDescent="0.2">
      <c r="A64" s="10">
        <f t="shared" si="1"/>
        <v>1977</v>
      </c>
      <c r="B64" s="64" t="s">
        <v>10</v>
      </c>
      <c r="C64" s="80">
        <v>1977</v>
      </c>
      <c r="D64" s="61">
        <v>158559379</v>
      </c>
      <c r="E64" s="60">
        <v>10323206700</v>
      </c>
      <c r="F64" s="61">
        <v>1902763</v>
      </c>
      <c r="G64" s="71">
        <v>1.2000318189944474E-2</v>
      </c>
      <c r="H64" s="34">
        <v>721877316</v>
      </c>
      <c r="I64" s="33">
        <v>1894411</v>
      </c>
      <c r="J64" s="71">
        <v>1.194764391704637E-2</v>
      </c>
      <c r="K64" s="34">
        <v>717060928</v>
      </c>
      <c r="L64" s="72">
        <v>-8352</v>
      </c>
      <c r="M64" s="7"/>
    </row>
    <row r="65" spans="1:13" x14ac:dyDescent="0.2">
      <c r="A65" s="10">
        <f t="shared" si="1"/>
        <v>1978</v>
      </c>
      <c r="B65" s="64" t="s">
        <v>10</v>
      </c>
      <c r="C65" s="80">
        <v>1978</v>
      </c>
      <c r="D65" s="61">
        <v>161741741</v>
      </c>
      <c r="E65" s="60">
        <v>10282850950</v>
      </c>
      <c r="F65" s="61">
        <v>2333235</v>
      </c>
      <c r="G65" s="71">
        <v>1.4425682483534043E-2</v>
      </c>
      <c r="H65" s="34">
        <v>691067494</v>
      </c>
      <c r="I65" s="33">
        <v>2323114</v>
      </c>
      <c r="J65" s="71">
        <v>1.4363107418263786E-2</v>
      </c>
      <c r="K65" s="34">
        <v>686747024</v>
      </c>
      <c r="L65" s="72">
        <v>-10121</v>
      </c>
      <c r="M65" s="7"/>
    </row>
    <row r="66" spans="1:13" x14ac:dyDescent="0.2">
      <c r="A66" s="10">
        <f t="shared" si="1"/>
        <v>1979</v>
      </c>
      <c r="B66" s="64" t="s">
        <v>10</v>
      </c>
      <c r="C66" s="80">
        <v>1979</v>
      </c>
      <c r="D66" s="61">
        <v>149651970</v>
      </c>
      <c r="E66" s="60">
        <v>8666647325</v>
      </c>
      <c r="F66" s="61">
        <v>2356569</v>
      </c>
      <c r="G66" s="71">
        <v>1.5746996180538084E-2</v>
      </c>
      <c r="H66" s="34">
        <v>632608904</v>
      </c>
      <c r="I66" s="33">
        <v>2345403</v>
      </c>
      <c r="J66" s="71">
        <v>1.5672383063183196E-2</v>
      </c>
      <c r="K66" s="34">
        <v>628559646</v>
      </c>
      <c r="L66" s="72">
        <v>-11166</v>
      </c>
      <c r="M66" s="7"/>
    </row>
    <row r="67" spans="1:13" x14ac:dyDescent="0.2">
      <c r="A67" s="10">
        <f t="shared" si="1"/>
        <v>1980</v>
      </c>
      <c r="B67" s="73" t="s">
        <v>10</v>
      </c>
      <c r="C67" s="80">
        <v>1980</v>
      </c>
      <c r="D67" s="61">
        <v>28976429</v>
      </c>
      <c r="E67" s="60">
        <v>1331906250</v>
      </c>
      <c r="F67" s="61">
        <v>407766</v>
      </c>
      <c r="G67" s="71">
        <v>1.4072334448112981E-2</v>
      </c>
      <c r="H67" s="34">
        <v>75948543</v>
      </c>
      <c r="I67" s="33">
        <v>405450</v>
      </c>
      <c r="J67" s="71">
        <v>1.3992407415006175E-2</v>
      </c>
      <c r="K67" s="34">
        <v>75449459</v>
      </c>
      <c r="L67" s="72">
        <v>-2316</v>
      </c>
      <c r="M67" s="7"/>
    </row>
    <row r="68" spans="1:13" x14ac:dyDescent="0.2">
      <c r="B68" s="74" t="s">
        <v>36</v>
      </c>
      <c r="C68" s="67"/>
      <c r="D68" s="45">
        <v>1955749133</v>
      </c>
      <c r="E68" s="68">
        <v>111138146275</v>
      </c>
      <c r="F68" s="45">
        <v>17402327</v>
      </c>
      <c r="G68" s="47">
        <v>8.8980364129349707E-3</v>
      </c>
      <c r="H68" s="46">
        <v>5150071126</v>
      </c>
      <c r="I68" s="45">
        <v>17337264</v>
      </c>
      <c r="J68" s="47">
        <v>8.8647688537668908E-3</v>
      </c>
      <c r="K68" s="46">
        <v>5122715799</v>
      </c>
      <c r="L68" s="45">
        <v>-65063</v>
      </c>
      <c r="M68" s="7"/>
    </row>
    <row r="69" spans="1:13" x14ac:dyDescent="0.2">
      <c r="B69" s="3"/>
      <c r="C69" s="3"/>
      <c r="D69" s="5"/>
      <c r="E69" s="4"/>
      <c r="F69" s="5"/>
      <c r="G69" s="6"/>
      <c r="H69" s="4"/>
      <c r="I69" s="5"/>
      <c r="J69" s="6"/>
      <c r="K69" s="4"/>
      <c r="L69" s="5"/>
      <c r="M69" s="7"/>
    </row>
    <row r="70" spans="1:13" x14ac:dyDescent="0.2">
      <c r="B70" s="51" t="s">
        <v>37</v>
      </c>
      <c r="C70" s="52"/>
      <c r="D70" s="53"/>
      <c r="E70" s="54"/>
      <c r="F70" s="18" t="s">
        <v>80</v>
      </c>
      <c r="G70" s="19"/>
      <c r="H70" s="20"/>
      <c r="I70" s="18" t="s">
        <v>81</v>
      </c>
      <c r="J70" s="19"/>
      <c r="K70" s="20"/>
      <c r="L70" s="55" t="s">
        <v>1</v>
      </c>
      <c r="M70" s="7"/>
    </row>
    <row r="71" spans="1:13" x14ac:dyDescent="0.2">
      <c r="B71" s="56" t="s">
        <v>31</v>
      </c>
      <c r="C71" s="57" t="s">
        <v>32</v>
      </c>
      <c r="D71" s="26" t="s">
        <v>3</v>
      </c>
      <c r="E71" s="25" t="s">
        <v>4</v>
      </c>
      <c r="F71" s="26" t="s">
        <v>3</v>
      </c>
      <c r="G71" s="27" t="s">
        <v>5</v>
      </c>
      <c r="H71" s="28" t="s">
        <v>6</v>
      </c>
      <c r="I71" s="26" t="s">
        <v>3</v>
      </c>
      <c r="J71" s="27" t="s">
        <v>5</v>
      </c>
      <c r="K71" s="28" t="s">
        <v>6</v>
      </c>
      <c r="L71" s="29" t="s">
        <v>7</v>
      </c>
      <c r="M71" s="7"/>
    </row>
    <row r="72" spans="1:13" x14ac:dyDescent="0.2">
      <c r="A72" s="10">
        <v>1967</v>
      </c>
      <c r="B72" s="64" t="s">
        <v>14</v>
      </c>
      <c r="C72" s="65">
        <v>1967</v>
      </c>
      <c r="D72" s="61">
        <v>4001806</v>
      </c>
      <c r="E72" s="60">
        <v>136296525</v>
      </c>
      <c r="F72" s="61">
        <v>18085</v>
      </c>
      <c r="G72" s="71">
        <v>4.5192095768760406E-3</v>
      </c>
      <c r="H72" s="34">
        <v>3440030</v>
      </c>
      <c r="I72" s="33">
        <v>18050</v>
      </c>
      <c r="J72" s="71">
        <v>4.5104635257181384E-3</v>
      </c>
      <c r="K72" s="34">
        <v>3432755</v>
      </c>
      <c r="L72" s="72">
        <v>-35</v>
      </c>
      <c r="M72" s="7"/>
    </row>
    <row r="73" spans="1:13" x14ac:dyDescent="0.2">
      <c r="A73" s="10">
        <f>A72+1</f>
        <v>1968</v>
      </c>
      <c r="B73" s="64" t="s">
        <v>14</v>
      </c>
      <c r="C73" s="65">
        <v>1968</v>
      </c>
      <c r="D73" s="61">
        <v>10178871</v>
      </c>
      <c r="E73" s="60">
        <v>349658250</v>
      </c>
      <c r="F73" s="61">
        <v>46518</v>
      </c>
      <c r="G73" s="71">
        <v>4.5700549697505746E-3</v>
      </c>
      <c r="H73" s="34">
        <v>8660311</v>
      </c>
      <c r="I73" s="33">
        <v>46403</v>
      </c>
      <c r="J73" s="71">
        <v>4.558757056651961E-3</v>
      </c>
      <c r="K73" s="34">
        <v>8638269</v>
      </c>
      <c r="L73" s="72">
        <v>-115</v>
      </c>
      <c r="M73" s="7"/>
    </row>
    <row r="74" spans="1:13" x14ac:dyDescent="0.2">
      <c r="A74" s="10">
        <f>A73+1</f>
        <v>1969</v>
      </c>
      <c r="B74" s="64" t="s">
        <v>14</v>
      </c>
      <c r="C74" s="65">
        <v>1969</v>
      </c>
      <c r="D74" s="61">
        <v>12710952</v>
      </c>
      <c r="E74" s="60">
        <v>445991500</v>
      </c>
      <c r="F74" s="61">
        <v>65101</v>
      </c>
      <c r="G74" s="71">
        <v>5.1216462779499127E-3</v>
      </c>
      <c r="H74" s="34">
        <v>11649380</v>
      </c>
      <c r="I74" s="33">
        <v>64910</v>
      </c>
      <c r="J74" s="71">
        <v>5.1066198660808413E-3</v>
      </c>
      <c r="K74" s="34">
        <v>11613239</v>
      </c>
      <c r="L74" s="72">
        <v>-191</v>
      </c>
      <c r="M74" s="7"/>
    </row>
    <row r="75" spans="1:13" x14ac:dyDescent="0.2">
      <c r="A75" s="10">
        <f>A74+1</f>
        <v>1970</v>
      </c>
      <c r="B75" s="64" t="s">
        <v>14</v>
      </c>
      <c r="C75" s="80">
        <v>1970</v>
      </c>
      <c r="D75" s="61">
        <v>3958484</v>
      </c>
      <c r="E75" s="60">
        <v>131927825</v>
      </c>
      <c r="F75" s="61">
        <v>24878</v>
      </c>
      <c r="G75" s="71">
        <v>6.2847292044125981E-3</v>
      </c>
      <c r="H75" s="34">
        <v>4319601</v>
      </c>
      <c r="I75" s="33">
        <v>24798</v>
      </c>
      <c r="J75" s="71">
        <v>6.2645194473439835E-3</v>
      </c>
      <c r="K75" s="34">
        <v>4303708</v>
      </c>
      <c r="L75" s="72">
        <v>-80</v>
      </c>
      <c r="M75" s="7"/>
    </row>
    <row r="76" spans="1:13" x14ac:dyDescent="0.2">
      <c r="B76" s="74" t="s">
        <v>38</v>
      </c>
      <c r="C76" s="67"/>
      <c r="D76" s="45">
        <v>30850113</v>
      </c>
      <c r="E76" s="68">
        <v>1063874100</v>
      </c>
      <c r="F76" s="45">
        <v>154582</v>
      </c>
      <c r="G76" s="47">
        <v>5.0107433966287253E-3</v>
      </c>
      <c r="H76" s="46">
        <v>28069322</v>
      </c>
      <c r="I76" s="45">
        <v>154161</v>
      </c>
      <c r="J76" s="47">
        <v>4.997096769143115E-3</v>
      </c>
      <c r="K76" s="46">
        <v>27987971</v>
      </c>
      <c r="L76" s="45">
        <v>-421</v>
      </c>
      <c r="M76" s="7"/>
    </row>
    <row r="77" spans="1:13" x14ac:dyDescent="0.2">
      <c r="B77" s="3"/>
      <c r="C77" s="3"/>
      <c r="D77" s="5"/>
      <c r="E77" s="4"/>
      <c r="F77" s="5"/>
      <c r="G77" s="6"/>
      <c r="H77" s="4"/>
      <c r="I77" s="5"/>
      <c r="J77" s="6"/>
      <c r="K77" s="4"/>
      <c r="L77" s="5"/>
      <c r="M77" s="7"/>
    </row>
    <row r="78" spans="1:13" x14ac:dyDescent="0.2">
      <c r="B78" s="51" t="s">
        <v>39</v>
      </c>
      <c r="C78" s="52"/>
      <c r="D78" s="53"/>
      <c r="E78" s="54"/>
      <c r="F78" s="18" t="s">
        <v>80</v>
      </c>
      <c r="G78" s="19"/>
      <c r="H78" s="20"/>
      <c r="I78" s="18" t="s">
        <v>81</v>
      </c>
      <c r="J78" s="19"/>
      <c r="K78" s="20"/>
      <c r="L78" s="55" t="s">
        <v>1</v>
      </c>
      <c r="M78" s="7"/>
    </row>
    <row r="79" spans="1:13" x14ac:dyDescent="0.2">
      <c r="B79" s="56" t="s">
        <v>31</v>
      </c>
      <c r="C79" s="57" t="s">
        <v>32</v>
      </c>
      <c r="D79" s="26" t="s">
        <v>3</v>
      </c>
      <c r="E79" s="25" t="s">
        <v>4</v>
      </c>
      <c r="F79" s="26" t="s">
        <v>3</v>
      </c>
      <c r="G79" s="27" t="s">
        <v>5</v>
      </c>
      <c r="H79" s="28" t="s">
        <v>6</v>
      </c>
      <c r="I79" s="26" t="s">
        <v>3</v>
      </c>
      <c r="J79" s="27" t="s">
        <v>5</v>
      </c>
      <c r="K79" s="28" t="s">
        <v>6</v>
      </c>
      <c r="L79" s="29" t="s">
        <v>7</v>
      </c>
      <c r="M79" s="7"/>
    </row>
    <row r="80" spans="1:13" x14ac:dyDescent="0.2">
      <c r="A80" s="10">
        <v>1952</v>
      </c>
      <c r="B80" s="64" t="s">
        <v>16</v>
      </c>
      <c r="C80" s="65">
        <v>1952</v>
      </c>
      <c r="D80" s="61">
        <v>178338</v>
      </c>
      <c r="E80" s="60">
        <v>191480500</v>
      </c>
      <c r="F80" s="61">
        <v>75</v>
      </c>
      <c r="G80" s="71">
        <v>4.2054974262355753E-4</v>
      </c>
      <c r="H80" s="34">
        <v>72000</v>
      </c>
      <c r="I80" s="33">
        <v>75</v>
      </c>
      <c r="J80" s="71">
        <v>4.2054974262355753E-4</v>
      </c>
      <c r="K80" s="34">
        <v>72000</v>
      </c>
      <c r="L80" s="72">
        <v>0</v>
      </c>
      <c r="M80" s="7"/>
    </row>
    <row r="81" spans="1:13" x14ac:dyDescent="0.2">
      <c r="A81" s="10">
        <f>A80+1</f>
        <v>1953</v>
      </c>
      <c r="B81" s="64" t="s">
        <v>16</v>
      </c>
      <c r="C81" s="65">
        <v>1953</v>
      </c>
      <c r="D81" s="61">
        <v>420121</v>
      </c>
      <c r="E81" s="60">
        <v>470502000</v>
      </c>
      <c r="F81" s="61">
        <v>132</v>
      </c>
      <c r="G81" s="71">
        <v>3.1419519614587225E-4</v>
      </c>
      <c r="H81" s="34">
        <v>92000</v>
      </c>
      <c r="I81" s="33">
        <v>132</v>
      </c>
      <c r="J81" s="71">
        <v>3.1419519614587225E-4</v>
      </c>
      <c r="K81" s="34">
        <v>92000</v>
      </c>
      <c r="L81" s="72">
        <v>0</v>
      </c>
      <c r="M81" s="7"/>
    </row>
    <row r="82" spans="1:13" x14ac:dyDescent="0.2">
      <c r="A82" s="10">
        <f t="shared" ref="A82:A107" si="2">A81+1</f>
        <v>1954</v>
      </c>
      <c r="B82" s="64" t="s">
        <v>16</v>
      </c>
      <c r="C82" s="65">
        <v>1954</v>
      </c>
      <c r="D82" s="61">
        <v>724523</v>
      </c>
      <c r="E82" s="60">
        <v>877690500</v>
      </c>
      <c r="F82" s="61">
        <v>204</v>
      </c>
      <c r="G82" s="71">
        <v>2.8156456040733007E-4</v>
      </c>
      <c r="H82" s="34">
        <v>160500</v>
      </c>
      <c r="I82" s="33">
        <v>204</v>
      </c>
      <c r="J82" s="71">
        <v>2.8156456040733007E-4</v>
      </c>
      <c r="K82" s="34">
        <v>160500</v>
      </c>
      <c r="L82" s="72">
        <v>0</v>
      </c>
      <c r="M82" s="7"/>
    </row>
    <row r="83" spans="1:13" x14ac:dyDescent="0.2">
      <c r="A83" s="10">
        <f t="shared" si="2"/>
        <v>1955</v>
      </c>
      <c r="B83" s="64" t="s">
        <v>16</v>
      </c>
      <c r="C83" s="65">
        <v>1955</v>
      </c>
      <c r="D83" s="61">
        <v>996746</v>
      </c>
      <c r="E83" s="60">
        <v>1173096000</v>
      </c>
      <c r="F83" s="61">
        <v>290</v>
      </c>
      <c r="G83" s="71">
        <v>2.90946740694219E-4</v>
      </c>
      <c r="H83" s="34">
        <v>256500</v>
      </c>
      <c r="I83" s="33">
        <v>290</v>
      </c>
      <c r="J83" s="71">
        <v>2.90946740694219E-4</v>
      </c>
      <c r="K83" s="34">
        <v>256500</v>
      </c>
      <c r="L83" s="72">
        <v>0</v>
      </c>
      <c r="M83" s="7"/>
    </row>
    <row r="84" spans="1:13" x14ac:dyDescent="0.2">
      <c r="A84" s="10">
        <f t="shared" si="2"/>
        <v>1956</v>
      </c>
      <c r="B84" s="64" t="s">
        <v>16</v>
      </c>
      <c r="C84" s="65">
        <v>1956</v>
      </c>
      <c r="D84" s="61">
        <v>810033</v>
      </c>
      <c r="E84" s="60">
        <v>893178000</v>
      </c>
      <c r="F84" s="61">
        <v>290</v>
      </c>
      <c r="G84" s="71">
        <v>3.580101057611233E-4</v>
      </c>
      <c r="H84" s="34">
        <v>240500</v>
      </c>
      <c r="I84" s="33">
        <v>290</v>
      </c>
      <c r="J84" s="71">
        <v>3.580101057611233E-4</v>
      </c>
      <c r="K84" s="34">
        <v>240500</v>
      </c>
      <c r="L84" s="72">
        <v>0</v>
      </c>
      <c r="M84" s="7"/>
    </row>
    <row r="85" spans="1:13" x14ac:dyDescent="0.2">
      <c r="A85" s="10">
        <f t="shared" si="2"/>
        <v>1957</v>
      </c>
      <c r="B85" s="64" t="s">
        <v>16</v>
      </c>
      <c r="C85" s="65">
        <v>1957</v>
      </c>
      <c r="D85" s="61">
        <v>607168</v>
      </c>
      <c r="E85" s="60">
        <v>632194500</v>
      </c>
      <c r="F85" s="61">
        <v>257</v>
      </c>
      <c r="G85" s="71">
        <v>4.2327658901654896E-4</v>
      </c>
      <c r="H85" s="34">
        <v>199500</v>
      </c>
      <c r="I85" s="33">
        <v>256</v>
      </c>
      <c r="J85" s="71">
        <v>4.2162959839780751E-4</v>
      </c>
      <c r="K85" s="34">
        <v>198500</v>
      </c>
      <c r="L85" s="72">
        <v>-1</v>
      </c>
      <c r="M85" s="7"/>
    </row>
    <row r="86" spans="1:13" x14ac:dyDescent="0.2">
      <c r="A86" s="10">
        <f t="shared" si="2"/>
        <v>1958</v>
      </c>
      <c r="B86" s="64" t="s">
        <v>16</v>
      </c>
      <c r="C86" s="65">
        <v>1958</v>
      </c>
      <c r="D86" s="61">
        <v>773873</v>
      </c>
      <c r="E86" s="60">
        <v>890261000</v>
      </c>
      <c r="F86" s="61">
        <v>332</v>
      </c>
      <c r="G86" s="71">
        <v>4.290109617469533E-4</v>
      </c>
      <c r="H86" s="34">
        <v>276000</v>
      </c>
      <c r="I86" s="33">
        <v>332</v>
      </c>
      <c r="J86" s="71">
        <v>4.290109617469533E-4</v>
      </c>
      <c r="K86" s="34">
        <v>276000</v>
      </c>
      <c r="L86" s="72">
        <v>0</v>
      </c>
      <c r="M86" s="7"/>
    </row>
    <row r="87" spans="1:13" x14ac:dyDescent="0.2">
      <c r="A87" s="10">
        <f t="shared" si="2"/>
        <v>1959</v>
      </c>
      <c r="B87" s="64" t="s">
        <v>16</v>
      </c>
      <c r="C87" s="65">
        <v>1959</v>
      </c>
      <c r="D87" s="61">
        <v>649562</v>
      </c>
      <c r="E87" s="60">
        <v>718736500</v>
      </c>
      <c r="F87" s="61">
        <v>314</v>
      </c>
      <c r="G87" s="71">
        <v>4.8340266210153919E-4</v>
      </c>
      <c r="H87" s="34">
        <v>266500</v>
      </c>
      <c r="I87" s="33">
        <v>314</v>
      </c>
      <c r="J87" s="71">
        <v>4.8340266210153919E-4</v>
      </c>
      <c r="K87" s="34">
        <v>266500</v>
      </c>
      <c r="L87" s="72">
        <v>0</v>
      </c>
      <c r="M87" s="7"/>
    </row>
    <row r="88" spans="1:13" x14ac:dyDescent="0.2">
      <c r="A88" s="10">
        <f t="shared" si="2"/>
        <v>1960</v>
      </c>
      <c r="B88" s="64" t="s">
        <v>16</v>
      </c>
      <c r="C88" s="65">
        <v>1960</v>
      </c>
      <c r="D88" s="61">
        <v>929551</v>
      </c>
      <c r="E88" s="60">
        <v>1006778500</v>
      </c>
      <c r="F88" s="61">
        <v>520</v>
      </c>
      <c r="G88" s="71">
        <v>5.5940986562329556E-4</v>
      </c>
      <c r="H88" s="34">
        <v>450000</v>
      </c>
      <c r="I88" s="33">
        <v>520</v>
      </c>
      <c r="J88" s="71">
        <v>5.5940986562329556E-4</v>
      </c>
      <c r="K88" s="34">
        <v>450000</v>
      </c>
      <c r="L88" s="72">
        <v>0</v>
      </c>
      <c r="M88" s="7"/>
    </row>
    <row r="89" spans="1:13" x14ac:dyDescent="0.2">
      <c r="A89" s="10">
        <f t="shared" si="2"/>
        <v>1961</v>
      </c>
      <c r="B89" s="64" t="s">
        <v>16</v>
      </c>
      <c r="C89" s="65">
        <v>1961</v>
      </c>
      <c r="D89" s="61">
        <v>954441</v>
      </c>
      <c r="E89" s="60">
        <v>1041586000</v>
      </c>
      <c r="F89" s="61">
        <v>578</v>
      </c>
      <c r="G89" s="71">
        <v>6.0559007838095812E-4</v>
      </c>
      <c r="H89" s="34">
        <v>462000</v>
      </c>
      <c r="I89" s="33">
        <v>578</v>
      </c>
      <c r="J89" s="71">
        <v>6.0559007838095812E-4</v>
      </c>
      <c r="K89" s="34">
        <v>462000</v>
      </c>
      <c r="L89" s="72">
        <v>0</v>
      </c>
      <c r="M89" s="7"/>
    </row>
    <row r="90" spans="1:13" x14ac:dyDescent="0.2">
      <c r="A90" s="10">
        <f t="shared" si="2"/>
        <v>1962</v>
      </c>
      <c r="B90" s="64" t="s">
        <v>16</v>
      </c>
      <c r="C90" s="65">
        <v>1962</v>
      </c>
      <c r="D90" s="61">
        <v>771830</v>
      </c>
      <c r="E90" s="60">
        <v>856767500</v>
      </c>
      <c r="F90" s="61">
        <v>700</v>
      </c>
      <c r="G90" s="71">
        <v>9.0693546506355027E-4</v>
      </c>
      <c r="H90" s="34">
        <v>592500</v>
      </c>
      <c r="I90" s="33">
        <v>700</v>
      </c>
      <c r="J90" s="71">
        <v>9.0693546506355027E-4</v>
      </c>
      <c r="K90" s="34">
        <v>592500</v>
      </c>
      <c r="L90" s="72">
        <v>0</v>
      </c>
      <c r="M90" s="7"/>
    </row>
    <row r="91" spans="1:13" x14ac:dyDescent="0.2">
      <c r="A91" s="10">
        <f t="shared" si="2"/>
        <v>1963</v>
      </c>
      <c r="B91" s="64" t="s">
        <v>16</v>
      </c>
      <c r="C91" s="65">
        <v>1963</v>
      </c>
      <c r="D91" s="61">
        <v>693154</v>
      </c>
      <c r="E91" s="60">
        <v>772975500</v>
      </c>
      <c r="F91" s="61">
        <v>538</v>
      </c>
      <c r="G91" s="71">
        <v>7.7616229582459307E-4</v>
      </c>
      <c r="H91" s="34">
        <v>436000</v>
      </c>
      <c r="I91" s="33">
        <v>538</v>
      </c>
      <c r="J91" s="71">
        <v>7.7616229582459307E-4</v>
      </c>
      <c r="K91" s="34">
        <v>436000</v>
      </c>
      <c r="L91" s="72">
        <v>0</v>
      </c>
      <c r="M91" s="7"/>
    </row>
    <row r="92" spans="1:13" x14ac:dyDescent="0.2">
      <c r="A92" s="10">
        <f t="shared" si="2"/>
        <v>1964</v>
      </c>
      <c r="B92" s="64" t="s">
        <v>16</v>
      </c>
      <c r="C92" s="65">
        <v>1964</v>
      </c>
      <c r="D92" s="61">
        <v>600683</v>
      </c>
      <c r="E92" s="60">
        <v>671587500</v>
      </c>
      <c r="F92" s="61">
        <v>578</v>
      </c>
      <c r="G92" s="71">
        <v>9.6223798575954377E-4</v>
      </c>
      <c r="H92" s="34">
        <v>518000</v>
      </c>
      <c r="I92" s="33">
        <v>578</v>
      </c>
      <c r="J92" s="71">
        <v>9.6223798575954377E-4</v>
      </c>
      <c r="K92" s="34">
        <v>518000</v>
      </c>
      <c r="L92" s="72">
        <v>0</v>
      </c>
      <c r="M92" s="7"/>
    </row>
    <row r="93" spans="1:13" x14ac:dyDescent="0.2">
      <c r="A93" s="10">
        <f t="shared" si="2"/>
        <v>1965</v>
      </c>
      <c r="B93" s="64" t="s">
        <v>16</v>
      </c>
      <c r="C93" s="65">
        <v>1965</v>
      </c>
      <c r="D93" s="61">
        <v>524779</v>
      </c>
      <c r="E93" s="60">
        <v>585896000</v>
      </c>
      <c r="F93" s="61">
        <v>579</v>
      </c>
      <c r="G93" s="71">
        <v>1.1033215887068651E-3</v>
      </c>
      <c r="H93" s="34">
        <v>453000</v>
      </c>
      <c r="I93" s="33">
        <v>578</v>
      </c>
      <c r="J93" s="71">
        <v>1.1014160246503766E-3</v>
      </c>
      <c r="K93" s="34">
        <v>452500</v>
      </c>
      <c r="L93" s="72">
        <v>-1</v>
      </c>
      <c r="M93" s="7"/>
    </row>
    <row r="94" spans="1:13" x14ac:dyDescent="0.2">
      <c r="A94" s="10">
        <f t="shared" si="2"/>
        <v>1966</v>
      </c>
      <c r="B94" s="64" t="s">
        <v>16</v>
      </c>
      <c r="C94" s="65">
        <v>1966</v>
      </c>
      <c r="D94" s="61">
        <v>563143</v>
      </c>
      <c r="E94" s="60">
        <v>635282000</v>
      </c>
      <c r="F94" s="61">
        <v>746</v>
      </c>
      <c r="G94" s="71">
        <v>1.3247079338640452E-3</v>
      </c>
      <c r="H94" s="34">
        <v>606500</v>
      </c>
      <c r="I94" s="33">
        <v>746</v>
      </c>
      <c r="J94" s="71">
        <v>1.3247079338640452E-3</v>
      </c>
      <c r="K94" s="34">
        <v>606500</v>
      </c>
      <c r="L94" s="72">
        <v>0</v>
      </c>
      <c r="M94" s="7"/>
    </row>
    <row r="95" spans="1:13" x14ac:dyDescent="0.2">
      <c r="A95" s="10">
        <f t="shared" si="2"/>
        <v>1967</v>
      </c>
      <c r="B95" s="64" t="s">
        <v>16</v>
      </c>
      <c r="C95" s="65">
        <v>1967</v>
      </c>
      <c r="D95" s="61">
        <v>465284</v>
      </c>
      <c r="E95" s="60">
        <v>525980000</v>
      </c>
      <c r="F95" s="61">
        <v>612</v>
      </c>
      <c r="G95" s="71">
        <v>1.315325693554904E-3</v>
      </c>
      <c r="H95" s="34">
        <v>560500</v>
      </c>
      <c r="I95" s="33">
        <v>612</v>
      </c>
      <c r="J95" s="71">
        <v>1.315325693554904E-3</v>
      </c>
      <c r="K95" s="34">
        <v>560500</v>
      </c>
      <c r="L95" s="72">
        <v>0</v>
      </c>
      <c r="M95" s="7"/>
    </row>
    <row r="96" spans="1:13" x14ac:dyDescent="0.2">
      <c r="A96" s="10">
        <f t="shared" si="2"/>
        <v>1968</v>
      </c>
      <c r="B96" s="64" t="s">
        <v>16</v>
      </c>
      <c r="C96" s="65">
        <v>1968</v>
      </c>
      <c r="D96" s="61">
        <v>383771</v>
      </c>
      <c r="E96" s="60">
        <v>430938500</v>
      </c>
      <c r="F96" s="61">
        <v>594</v>
      </c>
      <c r="G96" s="71">
        <v>1.5477980358078124E-3</v>
      </c>
      <c r="H96" s="34">
        <v>521500</v>
      </c>
      <c r="I96" s="33">
        <v>594</v>
      </c>
      <c r="J96" s="71">
        <v>1.5477980358078124E-3</v>
      </c>
      <c r="K96" s="34">
        <v>521500</v>
      </c>
      <c r="L96" s="72">
        <v>0</v>
      </c>
      <c r="M96" s="7"/>
    </row>
    <row r="97" spans="1:13" x14ac:dyDescent="0.2">
      <c r="A97" s="10">
        <f t="shared" si="2"/>
        <v>1969</v>
      </c>
      <c r="B97" s="64" t="s">
        <v>16</v>
      </c>
      <c r="C97" s="80">
        <v>1969</v>
      </c>
      <c r="D97" s="61">
        <v>319605</v>
      </c>
      <c r="E97" s="60">
        <v>357152000</v>
      </c>
      <c r="F97" s="61">
        <v>447</v>
      </c>
      <c r="G97" s="71">
        <v>1.3986013986013986E-3</v>
      </c>
      <c r="H97" s="34">
        <v>449500</v>
      </c>
      <c r="I97" s="33">
        <v>447</v>
      </c>
      <c r="J97" s="71">
        <v>1.3986013986013986E-3</v>
      </c>
      <c r="K97" s="34">
        <v>449500</v>
      </c>
      <c r="L97" s="72">
        <v>0</v>
      </c>
      <c r="M97" s="7"/>
    </row>
    <row r="98" spans="1:13" x14ac:dyDescent="0.2">
      <c r="A98" s="10">
        <f t="shared" si="2"/>
        <v>1970</v>
      </c>
      <c r="B98" s="64" t="s">
        <v>16</v>
      </c>
      <c r="C98" s="80">
        <v>1970</v>
      </c>
      <c r="D98" s="61">
        <v>363284</v>
      </c>
      <c r="E98" s="60">
        <v>388314000</v>
      </c>
      <c r="F98" s="61">
        <v>804</v>
      </c>
      <c r="G98" s="71">
        <v>2.2131445370564078E-3</v>
      </c>
      <c r="H98" s="34">
        <v>640500</v>
      </c>
      <c r="I98" s="33">
        <v>804</v>
      </c>
      <c r="J98" s="71">
        <v>2.2131445370564078E-3</v>
      </c>
      <c r="K98" s="34">
        <v>640500</v>
      </c>
      <c r="L98" s="72">
        <v>0</v>
      </c>
      <c r="M98" s="7"/>
    </row>
    <row r="99" spans="1:13" x14ac:dyDescent="0.2">
      <c r="A99" s="10">
        <f t="shared" si="2"/>
        <v>1971</v>
      </c>
      <c r="B99" s="64" t="s">
        <v>16</v>
      </c>
      <c r="C99" s="80">
        <v>1971</v>
      </c>
      <c r="D99" s="61">
        <v>476493</v>
      </c>
      <c r="E99" s="60">
        <v>513936000</v>
      </c>
      <c r="F99" s="61">
        <v>1058</v>
      </c>
      <c r="G99" s="71">
        <v>2.2203893866226784E-3</v>
      </c>
      <c r="H99" s="34">
        <v>940500</v>
      </c>
      <c r="I99" s="33">
        <v>1058</v>
      </c>
      <c r="J99" s="71">
        <v>2.2203893866226784E-3</v>
      </c>
      <c r="K99" s="34">
        <v>940500</v>
      </c>
      <c r="L99" s="72">
        <v>0</v>
      </c>
      <c r="M99" s="7"/>
    </row>
    <row r="100" spans="1:13" x14ac:dyDescent="0.2">
      <c r="A100" s="10">
        <f t="shared" si="2"/>
        <v>1972</v>
      </c>
      <c r="B100" s="64" t="s">
        <v>16</v>
      </c>
      <c r="C100" s="80">
        <v>1972</v>
      </c>
      <c r="D100" s="61">
        <v>591780</v>
      </c>
      <c r="E100" s="60">
        <v>649815000</v>
      </c>
      <c r="F100" s="61">
        <v>1929</v>
      </c>
      <c r="G100" s="71">
        <v>3.2596573050795905E-3</v>
      </c>
      <c r="H100" s="34">
        <v>1790000</v>
      </c>
      <c r="I100" s="33">
        <v>1926</v>
      </c>
      <c r="J100" s="71">
        <v>3.2545878535942411E-3</v>
      </c>
      <c r="K100" s="34">
        <v>1787000</v>
      </c>
      <c r="L100" s="72">
        <v>-3</v>
      </c>
      <c r="M100" s="7"/>
    </row>
    <row r="101" spans="1:13" x14ac:dyDescent="0.2">
      <c r="A101" s="10">
        <f t="shared" si="2"/>
        <v>1973</v>
      </c>
      <c r="B101" s="64" t="s">
        <v>16</v>
      </c>
      <c r="C101" s="80">
        <v>1973</v>
      </c>
      <c r="D101" s="61">
        <v>547175</v>
      </c>
      <c r="E101" s="60">
        <v>611493000</v>
      </c>
      <c r="F101" s="61">
        <v>1889</v>
      </c>
      <c r="G101" s="71">
        <v>3.4522776077123406E-3</v>
      </c>
      <c r="H101" s="34">
        <v>1791500</v>
      </c>
      <c r="I101" s="33">
        <v>1886</v>
      </c>
      <c r="J101" s="71">
        <v>3.4467949010828346E-3</v>
      </c>
      <c r="K101" s="34">
        <v>1789500</v>
      </c>
      <c r="L101" s="72">
        <v>-3</v>
      </c>
      <c r="M101" s="7"/>
    </row>
    <row r="102" spans="1:13" x14ac:dyDescent="0.2">
      <c r="A102" s="10">
        <f t="shared" si="2"/>
        <v>1974</v>
      </c>
      <c r="B102" s="64" t="s">
        <v>16</v>
      </c>
      <c r="C102" s="80">
        <v>1974</v>
      </c>
      <c r="D102" s="61">
        <v>546102</v>
      </c>
      <c r="E102" s="60">
        <v>626635500</v>
      </c>
      <c r="F102" s="61">
        <v>1994</v>
      </c>
      <c r="G102" s="71">
        <v>3.6513325349476836E-3</v>
      </c>
      <c r="H102" s="34">
        <v>1906500</v>
      </c>
      <c r="I102" s="33">
        <v>1993</v>
      </c>
      <c r="J102" s="71">
        <v>3.64950137520097E-3</v>
      </c>
      <c r="K102" s="34">
        <v>1906000</v>
      </c>
      <c r="L102" s="72">
        <v>-1</v>
      </c>
      <c r="M102" s="7"/>
    </row>
    <row r="103" spans="1:13" x14ac:dyDescent="0.2">
      <c r="A103" s="10">
        <f t="shared" si="2"/>
        <v>1975</v>
      </c>
      <c r="B103" s="64" t="s">
        <v>16</v>
      </c>
      <c r="C103" s="80">
        <v>1975</v>
      </c>
      <c r="D103" s="61">
        <v>554492</v>
      </c>
      <c r="E103" s="60">
        <v>639172500</v>
      </c>
      <c r="F103" s="61">
        <v>2639</v>
      </c>
      <c r="G103" s="71">
        <v>4.7593112254099247E-3</v>
      </c>
      <c r="H103" s="34">
        <v>2695500</v>
      </c>
      <c r="I103" s="33">
        <v>2634</v>
      </c>
      <c r="J103" s="71">
        <v>4.7502939627623118E-3</v>
      </c>
      <c r="K103" s="34">
        <v>2691500</v>
      </c>
      <c r="L103" s="72">
        <v>-5</v>
      </c>
      <c r="M103" s="7"/>
    </row>
    <row r="104" spans="1:13" x14ac:dyDescent="0.2">
      <c r="A104" s="10">
        <f t="shared" si="2"/>
        <v>1976</v>
      </c>
      <c r="B104" s="64" t="s">
        <v>16</v>
      </c>
      <c r="C104" s="80">
        <v>1976</v>
      </c>
      <c r="D104" s="61">
        <v>545315</v>
      </c>
      <c r="E104" s="60">
        <v>642686500</v>
      </c>
      <c r="F104" s="61">
        <v>2794</v>
      </c>
      <c r="G104" s="71">
        <v>5.1236441322905111E-3</v>
      </c>
      <c r="H104" s="34">
        <v>2769000</v>
      </c>
      <c r="I104" s="33">
        <v>2788</v>
      </c>
      <c r="J104" s="71">
        <v>5.1126413174037025E-3</v>
      </c>
      <c r="K104" s="34">
        <v>2765000</v>
      </c>
      <c r="L104" s="72">
        <v>-6</v>
      </c>
      <c r="M104" s="7"/>
    </row>
    <row r="105" spans="1:13" x14ac:dyDescent="0.2">
      <c r="A105" s="10">
        <f t="shared" si="2"/>
        <v>1977</v>
      </c>
      <c r="B105" s="64" t="s">
        <v>16</v>
      </c>
      <c r="C105" s="80">
        <v>1977</v>
      </c>
      <c r="D105" s="61">
        <v>501204</v>
      </c>
      <c r="E105" s="60">
        <v>612992500</v>
      </c>
      <c r="F105" s="61">
        <v>3018</v>
      </c>
      <c r="G105" s="71">
        <v>6.0215002274522948E-3</v>
      </c>
      <c r="H105" s="34">
        <v>3000000</v>
      </c>
      <c r="I105" s="33">
        <v>3016</v>
      </c>
      <c r="J105" s="71">
        <v>6.0175098363141558E-3</v>
      </c>
      <c r="K105" s="34">
        <v>2999000</v>
      </c>
      <c r="L105" s="72">
        <v>-2</v>
      </c>
      <c r="M105" s="7"/>
    </row>
    <row r="106" spans="1:13" x14ac:dyDescent="0.2">
      <c r="A106" s="10">
        <f t="shared" si="2"/>
        <v>1978</v>
      </c>
      <c r="B106" s="64" t="s">
        <v>16</v>
      </c>
      <c r="C106" s="80">
        <v>1978</v>
      </c>
      <c r="D106" s="61">
        <v>459794</v>
      </c>
      <c r="E106" s="60">
        <v>579114500</v>
      </c>
      <c r="F106" s="61">
        <v>2966</v>
      </c>
      <c r="G106" s="71">
        <v>6.4507148853617056E-3</v>
      </c>
      <c r="H106" s="34">
        <v>3141000</v>
      </c>
      <c r="I106" s="33">
        <v>2958</v>
      </c>
      <c r="J106" s="71">
        <v>6.4333157892447488E-3</v>
      </c>
      <c r="K106" s="34">
        <v>3136000</v>
      </c>
      <c r="L106" s="72">
        <v>-8</v>
      </c>
      <c r="M106" s="7"/>
    </row>
    <row r="107" spans="1:13" x14ac:dyDescent="0.2">
      <c r="A107" s="10">
        <f t="shared" si="2"/>
        <v>1979</v>
      </c>
      <c r="B107" s="64" t="s">
        <v>16</v>
      </c>
      <c r="C107" s="80">
        <v>1979</v>
      </c>
      <c r="D107" s="61">
        <v>434281</v>
      </c>
      <c r="E107" s="60">
        <v>557806500</v>
      </c>
      <c r="F107" s="61">
        <v>3344</v>
      </c>
      <c r="G107" s="35">
        <v>7.7000835864336689E-3</v>
      </c>
      <c r="H107" s="34">
        <v>3557500</v>
      </c>
      <c r="I107" s="33">
        <v>3335</v>
      </c>
      <c r="J107" s="35">
        <v>7.6793596772596548E-3</v>
      </c>
      <c r="K107" s="34">
        <v>3551000</v>
      </c>
      <c r="L107" s="33">
        <v>-9</v>
      </c>
      <c r="M107" s="7"/>
    </row>
    <row r="108" spans="1:13" x14ac:dyDescent="0.2">
      <c r="B108" s="74" t="s">
        <v>40</v>
      </c>
      <c r="C108" s="67"/>
      <c r="D108" s="45">
        <v>16386525</v>
      </c>
      <c r="E108" s="68">
        <v>18554048500</v>
      </c>
      <c r="F108" s="45">
        <v>30221</v>
      </c>
      <c r="G108" s="47">
        <v>1.8442592312891233E-3</v>
      </c>
      <c r="H108" s="46">
        <v>28845000</v>
      </c>
      <c r="I108" s="45">
        <v>30182</v>
      </c>
      <c r="J108" s="47">
        <v>1.8418792269868079E-3</v>
      </c>
      <c r="K108" s="46">
        <v>28817500</v>
      </c>
      <c r="L108" s="45">
        <v>-39</v>
      </c>
      <c r="M108" s="7"/>
    </row>
    <row r="109" spans="1:13" x14ac:dyDescent="0.2">
      <c r="B109" s="3"/>
      <c r="C109" s="3"/>
      <c r="D109" s="5"/>
      <c r="E109" s="4"/>
      <c r="F109" s="5"/>
      <c r="G109" s="6"/>
      <c r="H109" s="4"/>
      <c r="I109" s="5"/>
      <c r="J109" s="6"/>
      <c r="K109" s="4"/>
      <c r="L109" s="5"/>
      <c r="M109" s="7"/>
    </row>
    <row r="110" spans="1:13" x14ac:dyDescent="0.2">
      <c r="B110" s="51" t="s">
        <v>41</v>
      </c>
      <c r="C110" s="52"/>
      <c r="D110" s="53"/>
      <c r="E110" s="54"/>
      <c r="F110" s="18" t="s">
        <v>80</v>
      </c>
      <c r="G110" s="19"/>
      <c r="H110" s="20"/>
      <c r="I110" s="18" t="s">
        <v>81</v>
      </c>
      <c r="J110" s="19"/>
      <c r="K110" s="20"/>
      <c r="L110" s="55" t="s">
        <v>1</v>
      </c>
      <c r="M110" s="7"/>
    </row>
    <row r="111" spans="1:13" x14ac:dyDescent="0.2">
      <c r="B111" s="56" t="s">
        <v>31</v>
      </c>
      <c r="C111" s="57" t="s">
        <v>32</v>
      </c>
      <c r="D111" s="26" t="s">
        <v>3</v>
      </c>
      <c r="E111" s="25" t="s">
        <v>4</v>
      </c>
      <c r="F111" s="26" t="s">
        <v>3</v>
      </c>
      <c r="G111" s="27" t="s">
        <v>5</v>
      </c>
      <c r="H111" s="28" t="s">
        <v>6</v>
      </c>
      <c r="I111" s="26" t="s">
        <v>3</v>
      </c>
      <c r="J111" s="27" t="s">
        <v>5</v>
      </c>
      <c r="K111" s="28" t="s">
        <v>6</v>
      </c>
      <c r="L111" s="29" t="s">
        <v>7</v>
      </c>
      <c r="M111" s="7"/>
    </row>
    <row r="112" spans="1:13" x14ac:dyDescent="0.2">
      <c r="A112" s="10">
        <v>1980</v>
      </c>
      <c r="B112" s="64" t="s">
        <v>18</v>
      </c>
      <c r="C112" s="80">
        <v>1980</v>
      </c>
      <c r="D112" s="61">
        <v>500337</v>
      </c>
      <c r="E112" s="60">
        <v>693429500</v>
      </c>
      <c r="F112" s="61">
        <v>1872</v>
      </c>
      <c r="G112" s="71">
        <v>3.7414782436637705E-3</v>
      </c>
      <c r="H112" s="34">
        <v>1860500</v>
      </c>
      <c r="I112" s="33">
        <v>1851</v>
      </c>
      <c r="J112" s="71">
        <v>3.6995065325970294E-3</v>
      </c>
      <c r="K112" s="34">
        <v>1850000</v>
      </c>
      <c r="L112" s="72">
        <v>-21</v>
      </c>
      <c r="M112" s="7"/>
    </row>
    <row r="113" spans="1:13" x14ac:dyDescent="0.2">
      <c r="A113" s="10">
        <f>A112+1</f>
        <v>1981</v>
      </c>
      <c r="B113" s="64" t="s">
        <v>18</v>
      </c>
      <c r="C113" s="80">
        <v>1981</v>
      </c>
      <c r="D113" s="61">
        <v>595751</v>
      </c>
      <c r="E113" s="60">
        <v>831964000</v>
      </c>
      <c r="F113" s="61">
        <v>3283</v>
      </c>
      <c r="G113" s="71">
        <v>5.510691547307516E-3</v>
      </c>
      <c r="H113" s="34">
        <v>3170500</v>
      </c>
      <c r="I113" s="33">
        <v>3282</v>
      </c>
      <c r="J113" s="71">
        <v>5.509012993683603E-3</v>
      </c>
      <c r="K113" s="34">
        <v>3170000</v>
      </c>
      <c r="L113" s="72">
        <v>-1</v>
      </c>
      <c r="M113" s="7"/>
    </row>
    <row r="114" spans="1:13" x14ac:dyDescent="0.2">
      <c r="A114" s="10">
        <f t="shared" ref="A114:A136" si="3">A113+1</f>
        <v>1982</v>
      </c>
      <c r="B114" s="64" t="s">
        <v>18</v>
      </c>
      <c r="C114" s="80">
        <v>1982</v>
      </c>
      <c r="D114" s="61">
        <v>578431</v>
      </c>
      <c r="E114" s="60">
        <v>801291500</v>
      </c>
      <c r="F114" s="61">
        <v>3915</v>
      </c>
      <c r="G114" s="71">
        <v>6.7683094439959131E-3</v>
      </c>
      <c r="H114" s="34">
        <v>3983000</v>
      </c>
      <c r="I114" s="33">
        <v>3875</v>
      </c>
      <c r="J114" s="71">
        <v>6.6991568570840777E-3</v>
      </c>
      <c r="K114" s="34">
        <v>3963000</v>
      </c>
      <c r="L114" s="72">
        <v>-40</v>
      </c>
      <c r="M114" s="7"/>
    </row>
    <row r="115" spans="1:13" x14ac:dyDescent="0.2">
      <c r="A115" s="10">
        <f t="shared" si="3"/>
        <v>1983</v>
      </c>
      <c r="B115" s="64" t="s">
        <v>18</v>
      </c>
      <c r="C115" s="80">
        <v>1983</v>
      </c>
      <c r="D115" s="61">
        <v>552484</v>
      </c>
      <c r="E115" s="60">
        <v>734841000</v>
      </c>
      <c r="F115" s="61">
        <v>4110</v>
      </c>
      <c r="G115" s="71">
        <v>7.4391294589526572E-3</v>
      </c>
      <c r="H115" s="34">
        <v>3603500</v>
      </c>
      <c r="I115" s="33">
        <v>4107</v>
      </c>
      <c r="J115" s="71">
        <v>7.4336994374497719E-3</v>
      </c>
      <c r="K115" s="34">
        <v>3601000</v>
      </c>
      <c r="L115" s="72">
        <v>-3</v>
      </c>
      <c r="M115" s="7"/>
    </row>
    <row r="116" spans="1:13" x14ac:dyDescent="0.2">
      <c r="A116" s="10">
        <f t="shared" si="3"/>
        <v>1984</v>
      </c>
      <c r="B116" s="64" t="s">
        <v>18</v>
      </c>
      <c r="C116" s="80">
        <v>1984</v>
      </c>
      <c r="D116" s="61">
        <v>514442</v>
      </c>
      <c r="E116" s="60">
        <v>701350500</v>
      </c>
      <c r="F116" s="61">
        <v>5260</v>
      </c>
      <c r="G116" s="71">
        <v>1.0224670613985638E-2</v>
      </c>
      <c r="H116" s="34">
        <v>5510000</v>
      </c>
      <c r="I116" s="33">
        <v>5233</v>
      </c>
      <c r="J116" s="71">
        <v>1.0172186563305484E-2</v>
      </c>
      <c r="K116" s="34">
        <v>5488500</v>
      </c>
      <c r="L116" s="72">
        <v>-27</v>
      </c>
      <c r="M116" s="7"/>
    </row>
    <row r="117" spans="1:13" x14ac:dyDescent="0.2">
      <c r="A117" s="10">
        <f t="shared" si="3"/>
        <v>1985</v>
      </c>
      <c r="B117" s="64" t="s">
        <v>18</v>
      </c>
      <c r="C117" s="80">
        <v>1985</v>
      </c>
      <c r="D117" s="61">
        <v>495599</v>
      </c>
      <c r="E117" s="60">
        <v>691736000</v>
      </c>
      <c r="F117" s="61">
        <v>6132</v>
      </c>
      <c r="G117" s="71">
        <v>1.2372906321441326E-2</v>
      </c>
      <c r="H117" s="34">
        <v>6144000</v>
      </c>
      <c r="I117" s="33">
        <v>6084</v>
      </c>
      <c r="J117" s="71">
        <v>1.2276053825774466E-2</v>
      </c>
      <c r="K117" s="34">
        <v>6051000</v>
      </c>
      <c r="L117" s="72">
        <v>-48</v>
      </c>
      <c r="M117" s="7"/>
    </row>
    <row r="118" spans="1:13" x14ac:dyDescent="0.2">
      <c r="A118" s="10">
        <f t="shared" si="3"/>
        <v>1986</v>
      </c>
      <c r="B118" s="64" t="s">
        <v>18</v>
      </c>
      <c r="C118" s="80">
        <v>1986</v>
      </c>
      <c r="D118" s="61">
        <v>537812</v>
      </c>
      <c r="E118" s="60">
        <v>826212000</v>
      </c>
      <c r="F118" s="61">
        <v>5996</v>
      </c>
      <c r="G118" s="71">
        <v>1.1148877302849323E-2</v>
      </c>
      <c r="H118" s="34">
        <v>6514500</v>
      </c>
      <c r="I118" s="33">
        <v>5976</v>
      </c>
      <c r="J118" s="71">
        <v>1.1111689586695723E-2</v>
      </c>
      <c r="K118" s="34">
        <v>6494500</v>
      </c>
      <c r="L118" s="72">
        <v>-20</v>
      </c>
      <c r="M118" s="7"/>
    </row>
    <row r="119" spans="1:13" x14ac:dyDescent="0.2">
      <c r="A119" s="10">
        <f t="shared" si="3"/>
        <v>1987</v>
      </c>
      <c r="B119" s="64" t="s">
        <v>18</v>
      </c>
      <c r="C119" s="80">
        <v>1987</v>
      </c>
      <c r="D119" s="61">
        <v>399256</v>
      </c>
      <c r="E119" s="60">
        <v>637163500</v>
      </c>
      <c r="F119" s="61">
        <v>5102</v>
      </c>
      <c r="G119" s="71">
        <v>1.2778768509427536E-2</v>
      </c>
      <c r="H119" s="34">
        <v>5957000</v>
      </c>
      <c r="I119" s="33">
        <v>5055</v>
      </c>
      <c r="J119" s="71">
        <v>1.2661049552167031E-2</v>
      </c>
      <c r="K119" s="34">
        <v>5928500</v>
      </c>
      <c r="L119" s="72">
        <v>-47</v>
      </c>
      <c r="M119" s="7"/>
    </row>
    <row r="120" spans="1:13" x14ac:dyDescent="0.2">
      <c r="A120" s="10">
        <f t="shared" si="3"/>
        <v>1988</v>
      </c>
      <c r="B120" s="64" t="s">
        <v>18</v>
      </c>
      <c r="C120" s="80">
        <v>1988</v>
      </c>
      <c r="D120" s="61">
        <v>458335</v>
      </c>
      <c r="E120" s="60">
        <v>766099500</v>
      </c>
      <c r="F120" s="61">
        <v>6532</v>
      </c>
      <c r="G120" s="71">
        <v>1.4251584539692583E-2</v>
      </c>
      <c r="H120" s="34">
        <v>8482000</v>
      </c>
      <c r="I120" s="33">
        <v>6520</v>
      </c>
      <c r="J120" s="71">
        <v>1.4225402816717031E-2</v>
      </c>
      <c r="K120" s="34">
        <v>8466500</v>
      </c>
      <c r="L120" s="72">
        <v>-12</v>
      </c>
      <c r="M120" s="7"/>
    </row>
    <row r="121" spans="1:13" x14ac:dyDescent="0.2">
      <c r="A121" s="10">
        <f t="shared" si="3"/>
        <v>1989</v>
      </c>
      <c r="B121" s="64" t="s">
        <v>18</v>
      </c>
      <c r="C121" s="80">
        <v>1989</v>
      </c>
      <c r="D121" s="61">
        <v>414393</v>
      </c>
      <c r="E121" s="60">
        <v>714821000</v>
      </c>
      <c r="F121" s="61">
        <v>7006</v>
      </c>
      <c r="G121" s="71">
        <v>1.6906656241780147E-2</v>
      </c>
      <c r="H121" s="34">
        <v>9204000</v>
      </c>
      <c r="I121" s="33">
        <v>7004</v>
      </c>
      <c r="J121" s="71">
        <v>1.6901829905427938E-2</v>
      </c>
      <c r="K121" s="34">
        <v>9202500</v>
      </c>
      <c r="L121" s="72">
        <v>-2</v>
      </c>
      <c r="M121" s="7"/>
    </row>
    <row r="122" spans="1:13" x14ac:dyDescent="0.2">
      <c r="A122" s="10">
        <f t="shared" si="3"/>
        <v>1990</v>
      </c>
      <c r="B122" s="64" t="s">
        <v>18</v>
      </c>
      <c r="C122" s="80">
        <v>1990</v>
      </c>
      <c r="D122" s="61">
        <v>455721</v>
      </c>
      <c r="E122" s="60">
        <v>805967000</v>
      </c>
      <c r="F122" s="61">
        <v>8531</v>
      </c>
      <c r="G122" s="71">
        <v>1.8719786887152447E-2</v>
      </c>
      <c r="H122" s="34">
        <v>10299000</v>
      </c>
      <c r="I122" s="33">
        <v>8483</v>
      </c>
      <c r="J122" s="71">
        <v>1.8614459285396109E-2</v>
      </c>
      <c r="K122" s="34">
        <v>10262500</v>
      </c>
      <c r="L122" s="72">
        <v>-48</v>
      </c>
      <c r="M122" s="7"/>
    </row>
    <row r="123" spans="1:13" x14ac:dyDescent="0.2">
      <c r="A123" s="10">
        <f t="shared" si="3"/>
        <v>1991</v>
      </c>
      <c r="B123" s="64" t="s">
        <v>18</v>
      </c>
      <c r="C123" s="80">
        <v>1991</v>
      </c>
      <c r="D123" s="61">
        <v>478442</v>
      </c>
      <c r="E123" s="60">
        <v>853585500</v>
      </c>
      <c r="F123" s="61">
        <v>9440</v>
      </c>
      <c r="G123" s="71">
        <v>1.9730709260474624E-2</v>
      </c>
      <c r="H123" s="34">
        <v>13066500</v>
      </c>
      <c r="I123" s="33">
        <v>9403</v>
      </c>
      <c r="J123" s="71">
        <v>1.9653374912737595E-2</v>
      </c>
      <c r="K123" s="34">
        <v>13016500</v>
      </c>
      <c r="L123" s="72">
        <v>-37</v>
      </c>
      <c r="M123" s="7"/>
    </row>
    <row r="124" spans="1:13" x14ac:dyDescent="0.2">
      <c r="A124" s="10">
        <f t="shared" si="3"/>
        <v>1992</v>
      </c>
      <c r="B124" s="64" t="s">
        <v>18</v>
      </c>
      <c r="C124" s="80">
        <v>1992</v>
      </c>
      <c r="D124" s="61">
        <v>680772</v>
      </c>
      <c r="E124" s="60">
        <v>1237302500</v>
      </c>
      <c r="F124" s="61">
        <v>16017</v>
      </c>
      <c r="G124" s="71">
        <v>2.3527700904267507E-2</v>
      </c>
      <c r="H124" s="34">
        <v>21843500</v>
      </c>
      <c r="I124" s="33">
        <v>15879</v>
      </c>
      <c r="J124" s="71">
        <v>2.3324989864448011E-2</v>
      </c>
      <c r="K124" s="34">
        <v>21726500</v>
      </c>
      <c r="L124" s="72">
        <v>-138</v>
      </c>
      <c r="M124" s="7"/>
    </row>
    <row r="125" spans="1:13" x14ac:dyDescent="0.2">
      <c r="A125" s="10">
        <f t="shared" si="3"/>
        <v>1993</v>
      </c>
      <c r="B125" s="64" t="s">
        <v>18</v>
      </c>
      <c r="C125" s="80">
        <v>1993</v>
      </c>
      <c r="D125" s="61">
        <v>555855</v>
      </c>
      <c r="E125" s="60">
        <v>1012376500</v>
      </c>
      <c r="F125" s="61">
        <v>13839</v>
      </c>
      <c r="G125" s="71">
        <v>2.4896780635237606E-2</v>
      </c>
      <c r="H125" s="34">
        <v>18242500</v>
      </c>
      <c r="I125" s="33">
        <v>13720</v>
      </c>
      <c r="J125" s="71">
        <v>2.4682696026841533E-2</v>
      </c>
      <c r="K125" s="34">
        <v>18046500</v>
      </c>
      <c r="L125" s="72">
        <v>-119</v>
      </c>
      <c r="M125" s="7"/>
    </row>
    <row r="126" spans="1:13" x14ac:dyDescent="0.2">
      <c r="A126" s="10">
        <f t="shared" si="3"/>
        <v>1994</v>
      </c>
      <c r="B126" s="64" t="s">
        <v>18</v>
      </c>
      <c r="C126" s="80">
        <v>1994</v>
      </c>
      <c r="D126" s="61">
        <v>459323</v>
      </c>
      <c r="E126" s="60">
        <v>841500500</v>
      </c>
      <c r="F126" s="61">
        <v>14002</v>
      </c>
      <c r="G126" s="71">
        <v>3.0483994922962707E-2</v>
      </c>
      <c r="H126" s="34">
        <v>19957000</v>
      </c>
      <c r="I126" s="33">
        <v>13888</v>
      </c>
      <c r="J126" s="71">
        <v>3.0235803563069995E-2</v>
      </c>
      <c r="K126" s="34">
        <v>19829500</v>
      </c>
      <c r="L126" s="72">
        <v>-114</v>
      </c>
      <c r="M126" s="7"/>
    </row>
    <row r="127" spans="1:13" x14ac:dyDescent="0.2">
      <c r="A127" s="10">
        <f t="shared" si="3"/>
        <v>1995</v>
      </c>
      <c r="B127" s="64" t="s">
        <v>18</v>
      </c>
      <c r="C127" s="80">
        <v>1995</v>
      </c>
      <c r="D127" s="61">
        <v>492750</v>
      </c>
      <c r="E127" s="60">
        <v>922625500</v>
      </c>
      <c r="F127" s="61">
        <v>17548</v>
      </c>
      <c r="G127" s="71">
        <v>3.5612379502790462E-2</v>
      </c>
      <c r="H127" s="34">
        <v>24700000</v>
      </c>
      <c r="I127" s="33">
        <v>17407</v>
      </c>
      <c r="J127" s="71">
        <v>3.5326230339928967E-2</v>
      </c>
      <c r="K127" s="34">
        <v>24483000</v>
      </c>
      <c r="L127" s="72">
        <v>-141</v>
      </c>
      <c r="M127" s="7"/>
    </row>
    <row r="128" spans="1:13" x14ac:dyDescent="0.2">
      <c r="A128" s="10">
        <f t="shared" si="3"/>
        <v>1996</v>
      </c>
      <c r="B128" s="64" t="s">
        <v>18</v>
      </c>
      <c r="C128" s="80">
        <v>1996</v>
      </c>
      <c r="D128" s="61">
        <v>688846</v>
      </c>
      <c r="E128" s="60">
        <v>1254150500</v>
      </c>
      <c r="F128" s="61">
        <v>28262</v>
      </c>
      <c r="G128" s="71">
        <v>4.1028038197216794E-2</v>
      </c>
      <c r="H128" s="34">
        <v>38107500</v>
      </c>
      <c r="I128" s="33">
        <v>27981</v>
      </c>
      <c r="J128" s="71">
        <v>4.0620109574563835E-2</v>
      </c>
      <c r="K128" s="34">
        <v>37714000</v>
      </c>
      <c r="L128" s="72">
        <v>-281</v>
      </c>
      <c r="M128" s="7"/>
    </row>
    <row r="129" spans="1:13" x14ac:dyDescent="0.2">
      <c r="A129" s="10">
        <f t="shared" si="3"/>
        <v>1997</v>
      </c>
      <c r="B129" s="64" t="s">
        <v>18</v>
      </c>
      <c r="C129" s="80">
        <v>1997</v>
      </c>
      <c r="D129" s="61">
        <v>662583</v>
      </c>
      <c r="E129" s="60">
        <v>1184576500</v>
      </c>
      <c r="F129" s="61">
        <v>35682</v>
      </c>
      <c r="G129" s="71">
        <v>5.385287579065566E-2</v>
      </c>
      <c r="H129" s="34">
        <v>48766500</v>
      </c>
      <c r="I129" s="33">
        <v>35182</v>
      </c>
      <c r="J129" s="71">
        <v>5.3098253350900945E-2</v>
      </c>
      <c r="K129" s="34">
        <v>48142500</v>
      </c>
      <c r="L129" s="72">
        <v>-500</v>
      </c>
      <c r="M129" s="7"/>
    </row>
    <row r="130" spans="1:13" x14ac:dyDescent="0.2">
      <c r="A130" s="10">
        <f t="shared" si="3"/>
        <v>1998</v>
      </c>
      <c r="B130" s="64" t="s">
        <v>18</v>
      </c>
      <c r="C130" s="80">
        <v>1998</v>
      </c>
      <c r="D130" s="61">
        <v>619141</v>
      </c>
      <c r="E130" s="60">
        <v>1099839000</v>
      </c>
      <c r="F130" s="61">
        <v>39705</v>
      </c>
      <c r="G130" s="71">
        <v>6.412917251482296E-2</v>
      </c>
      <c r="H130" s="34">
        <v>55645000</v>
      </c>
      <c r="I130" s="33">
        <v>39139</v>
      </c>
      <c r="J130" s="71">
        <v>6.321500272151255E-2</v>
      </c>
      <c r="K130" s="34">
        <v>54922500</v>
      </c>
      <c r="L130" s="72">
        <v>-566</v>
      </c>
      <c r="M130" s="7"/>
    </row>
    <row r="131" spans="1:13" x14ac:dyDescent="0.2">
      <c r="A131" s="10">
        <f t="shared" si="3"/>
        <v>1999</v>
      </c>
      <c r="B131" s="64" t="s">
        <v>18</v>
      </c>
      <c r="C131" s="80">
        <v>1999</v>
      </c>
      <c r="D131" s="61">
        <v>607141</v>
      </c>
      <c r="E131" s="60">
        <v>1091623000</v>
      </c>
      <c r="F131" s="61">
        <v>52167</v>
      </c>
      <c r="G131" s="71">
        <v>8.5922380468457904E-2</v>
      </c>
      <c r="H131" s="34">
        <v>75440500</v>
      </c>
      <c r="I131" s="33">
        <v>51117</v>
      </c>
      <c r="J131" s="71">
        <v>8.4192963413770444E-2</v>
      </c>
      <c r="K131" s="34">
        <v>73672500</v>
      </c>
      <c r="L131" s="72">
        <v>-1050</v>
      </c>
      <c r="M131" s="7"/>
    </row>
    <row r="132" spans="1:13" x14ac:dyDescent="0.2">
      <c r="A132" s="10">
        <f t="shared" si="3"/>
        <v>2000</v>
      </c>
      <c r="B132" s="64" t="s">
        <v>18</v>
      </c>
      <c r="C132" s="58" t="s">
        <v>82</v>
      </c>
      <c r="D132" s="61">
        <v>592939</v>
      </c>
      <c r="E132" s="60">
        <v>1062533500</v>
      </c>
      <c r="F132" s="61">
        <v>88065</v>
      </c>
      <c r="G132" s="71">
        <v>0.14852286660179209</v>
      </c>
      <c r="H132" s="34">
        <v>126425500</v>
      </c>
      <c r="I132" s="33">
        <v>84808</v>
      </c>
      <c r="J132" s="71">
        <v>0.14302989008987435</v>
      </c>
      <c r="K132" s="34">
        <v>129659000</v>
      </c>
      <c r="L132" s="72">
        <v>-3257</v>
      </c>
      <c r="M132" s="7"/>
    </row>
    <row r="133" spans="1:13" hidden="1" x14ac:dyDescent="0.2">
      <c r="A133" s="10">
        <f t="shared" si="3"/>
        <v>2001</v>
      </c>
      <c r="B133" s="64" t="s">
        <v>18</v>
      </c>
      <c r="C133" s="58" t="s">
        <v>83</v>
      </c>
      <c r="D133" s="61">
        <v>0</v>
      </c>
      <c r="E133" s="60">
        <v>0</v>
      </c>
      <c r="F133" s="61">
        <v>0</v>
      </c>
      <c r="G133" s="71" t="b">
        <v>0</v>
      </c>
      <c r="H133" s="34">
        <v>0</v>
      </c>
      <c r="I133" s="33">
        <v>0</v>
      </c>
      <c r="J133" s="71" t="b">
        <v>0</v>
      </c>
      <c r="K133" s="34">
        <v>0</v>
      </c>
      <c r="L133" s="72">
        <v>0</v>
      </c>
      <c r="M133" s="7"/>
    </row>
    <row r="134" spans="1:13" hidden="1" x14ac:dyDescent="0.2">
      <c r="A134" s="10">
        <f t="shared" si="3"/>
        <v>2002</v>
      </c>
      <c r="B134" s="64" t="s">
        <v>18</v>
      </c>
      <c r="C134" s="58" t="s">
        <v>84</v>
      </c>
      <c r="D134" s="61">
        <v>0</v>
      </c>
      <c r="E134" s="60">
        <v>0</v>
      </c>
      <c r="F134" s="61">
        <v>0</v>
      </c>
      <c r="G134" s="71" t="b">
        <v>0</v>
      </c>
      <c r="H134" s="34">
        <v>0</v>
      </c>
      <c r="I134" s="33">
        <v>0</v>
      </c>
      <c r="J134" s="71" t="b">
        <v>0</v>
      </c>
      <c r="K134" s="34">
        <v>0</v>
      </c>
      <c r="L134" s="72">
        <v>0</v>
      </c>
      <c r="M134" s="7"/>
    </row>
    <row r="135" spans="1:13" hidden="1" x14ac:dyDescent="0.2">
      <c r="A135" s="10">
        <f t="shared" si="3"/>
        <v>2003</v>
      </c>
      <c r="B135" s="64" t="s">
        <v>18</v>
      </c>
      <c r="C135" s="58" t="s">
        <v>85</v>
      </c>
      <c r="D135" s="61">
        <v>0</v>
      </c>
      <c r="E135" s="60">
        <v>0</v>
      </c>
      <c r="F135" s="61">
        <v>0</v>
      </c>
      <c r="G135" s="71" t="b">
        <v>0</v>
      </c>
      <c r="H135" s="34">
        <v>0</v>
      </c>
      <c r="I135" s="33">
        <v>0</v>
      </c>
      <c r="J135" s="71" t="b">
        <v>0</v>
      </c>
      <c r="K135" s="34">
        <v>0</v>
      </c>
      <c r="L135" s="72">
        <v>0</v>
      </c>
      <c r="M135" s="7"/>
    </row>
    <row r="136" spans="1:13" hidden="1" x14ac:dyDescent="0.2">
      <c r="A136" s="10">
        <f t="shared" si="3"/>
        <v>2004</v>
      </c>
      <c r="B136" s="64" t="s">
        <v>18</v>
      </c>
      <c r="C136" s="58" t="s">
        <v>86</v>
      </c>
      <c r="D136" s="61">
        <v>0</v>
      </c>
      <c r="E136" s="60">
        <v>0</v>
      </c>
      <c r="F136" s="61">
        <v>0</v>
      </c>
      <c r="G136" s="71" t="b">
        <v>0</v>
      </c>
      <c r="H136" s="34">
        <v>0</v>
      </c>
      <c r="I136" s="33">
        <v>0</v>
      </c>
      <c r="J136" s="71" t="b">
        <v>0</v>
      </c>
      <c r="K136" s="34">
        <v>0</v>
      </c>
      <c r="L136" s="72">
        <v>0</v>
      </c>
      <c r="M136" s="7"/>
    </row>
    <row r="137" spans="1:13" x14ac:dyDescent="0.2">
      <c r="B137" s="74" t="s">
        <v>42</v>
      </c>
      <c r="C137" s="67"/>
      <c r="D137" s="45">
        <v>11340353</v>
      </c>
      <c r="E137" s="68">
        <v>18764988500</v>
      </c>
      <c r="F137" s="45">
        <v>372466</v>
      </c>
      <c r="G137" s="47">
        <v>3.2844303876607722E-2</v>
      </c>
      <c r="H137" s="68">
        <v>506922500</v>
      </c>
      <c r="I137" s="45">
        <v>365994</v>
      </c>
      <c r="J137" s="47">
        <v>3.2273598537893841E-2</v>
      </c>
      <c r="K137" s="68">
        <v>505690500</v>
      </c>
      <c r="L137" s="45">
        <v>-6472</v>
      </c>
    </row>
    <row r="138" spans="1:13" x14ac:dyDescent="0.2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7"/>
    </row>
    <row r="139" spans="1:13" x14ac:dyDescent="0.2">
      <c r="B139" s="14" t="s">
        <v>43</v>
      </c>
      <c r="C139" s="52"/>
      <c r="D139" s="53"/>
      <c r="E139" s="54"/>
      <c r="F139" s="18" t="s">
        <v>80</v>
      </c>
      <c r="G139" s="19"/>
      <c r="H139" s="20"/>
      <c r="I139" s="18" t="s">
        <v>81</v>
      </c>
      <c r="J139" s="19"/>
      <c r="K139" s="20"/>
      <c r="L139" s="55" t="s">
        <v>1</v>
      </c>
      <c r="M139" s="7"/>
    </row>
    <row r="140" spans="1:13" x14ac:dyDescent="0.2">
      <c r="B140" s="56" t="s">
        <v>31</v>
      </c>
      <c r="C140" s="57" t="s">
        <v>32</v>
      </c>
      <c r="D140" s="26" t="s">
        <v>3</v>
      </c>
      <c r="E140" s="25" t="s">
        <v>4</v>
      </c>
      <c r="F140" s="26" t="s">
        <v>3</v>
      </c>
      <c r="G140" s="27" t="s">
        <v>5</v>
      </c>
      <c r="H140" s="28" t="s">
        <v>6</v>
      </c>
      <c r="I140" s="26" t="s">
        <v>3</v>
      </c>
      <c r="J140" s="27" t="s">
        <v>5</v>
      </c>
      <c r="K140" s="28" t="s">
        <v>6</v>
      </c>
      <c r="L140" s="29" t="s">
        <v>7</v>
      </c>
      <c r="M140" s="7"/>
    </row>
    <row r="141" spans="1:13" x14ac:dyDescent="0.2">
      <c r="A141" s="10">
        <v>228</v>
      </c>
      <c r="B141" s="58" t="s">
        <v>44</v>
      </c>
      <c r="C141" s="58">
        <v>1935</v>
      </c>
      <c r="D141" s="33">
        <v>1026746</v>
      </c>
      <c r="E141" s="34">
        <v>271843525</v>
      </c>
      <c r="F141" s="33">
        <v>752</v>
      </c>
      <c r="G141" s="35">
        <v>7.324109370769402E-4</v>
      </c>
      <c r="H141" s="34">
        <v>61475</v>
      </c>
      <c r="I141" s="33">
        <v>752</v>
      </c>
      <c r="J141" s="35">
        <v>7.324109370769402E-4</v>
      </c>
      <c r="K141" s="34">
        <v>61475</v>
      </c>
      <c r="L141" s="33">
        <v>0</v>
      </c>
      <c r="M141" s="7"/>
    </row>
    <row r="142" spans="1:13" x14ac:dyDescent="0.2">
      <c r="A142" s="10">
        <f t="shared" ref="A142:A147" si="4">A141+2</f>
        <v>230</v>
      </c>
      <c r="B142" s="58" t="s">
        <v>45</v>
      </c>
      <c r="C142" s="58">
        <v>1936</v>
      </c>
      <c r="D142" s="33">
        <v>1710441</v>
      </c>
      <c r="E142" s="34">
        <v>493075050</v>
      </c>
      <c r="F142" s="33">
        <v>842</v>
      </c>
      <c r="G142" s="35">
        <v>4.9227070679432961E-4</v>
      </c>
      <c r="H142" s="34">
        <v>91350</v>
      </c>
      <c r="I142" s="33">
        <v>842</v>
      </c>
      <c r="J142" s="35">
        <v>4.9227070679432961E-4</v>
      </c>
      <c r="K142" s="34">
        <v>91350</v>
      </c>
      <c r="L142" s="33">
        <v>0</v>
      </c>
      <c r="M142" s="7"/>
    </row>
    <row r="143" spans="1:13" x14ac:dyDescent="0.2">
      <c r="A143" s="10">
        <f t="shared" si="4"/>
        <v>232</v>
      </c>
      <c r="B143" s="58" t="s">
        <v>46</v>
      </c>
      <c r="C143" s="58">
        <v>1937</v>
      </c>
      <c r="D143" s="33">
        <v>2346478</v>
      </c>
      <c r="E143" s="34">
        <v>626100600</v>
      </c>
      <c r="F143" s="33">
        <v>675</v>
      </c>
      <c r="G143" s="35">
        <v>2.8766517308067668E-4</v>
      </c>
      <c r="H143" s="34">
        <v>41200</v>
      </c>
      <c r="I143" s="33">
        <v>675</v>
      </c>
      <c r="J143" s="35">
        <v>2.8766517308067668E-4</v>
      </c>
      <c r="K143" s="34">
        <v>41200</v>
      </c>
      <c r="L143" s="33">
        <v>0</v>
      </c>
      <c r="M143" s="7"/>
    </row>
    <row r="144" spans="1:13" x14ac:dyDescent="0.2">
      <c r="A144" s="10">
        <f t="shared" si="4"/>
        <v>234</v>
      </c>
      <c r="B144" s="58" t="s">
        <v>46</v>
      </c>
      <c r="C144" s="58">
        <v>1938</v>
      </c>
      <c r="D144" s="33">
        <v>2771613</v>
      </c>
      <c r="E144" s="34">
        <v>720884550</v>
      </c>
      <c r="F144" s="33">
        <v>1340</v>
      </c>
      <c r="G144" s="35">
        <v>4.8347298125676278E-4</v>
      </c>
      <c r="H144" s="34">
        <v>159350</v>
      </c>
      <c r="I144" s="33">
        <v>1340</v>
      </c>
      <c r="J144" s="35">
        <v>4.8347298125676278E-4</v>
      </c>
      <c r="K144" s="34">
        <v>159350</v>
      </c>
      <c r="L144" s="33">
        <v>0</v>
      </c>
      <c r="M144" s="7"/>
    </row>
    <row r="145" spans="1:13" x14ac:dyDescent="0.2">
      <c r="A145" s="10">
        <f t="shared" si="4"/>
        <v>236</v>
      </c>
      <c r="B145" s="58" t="s">
        <v>47</v>
      </c>
      <c r="C145" s="58">
        <v>1939</v>
      </c>
      <c r="D145" s="33">
        <v>3946636</v>
      </c>
      <c r="E145" s="34">
        <v>1148728950</v>
      </c>
      <c r="F145" s="33">
        <v>1336</v>
      </c>
      <c r="G145" s="35">
        <v>3.3851614387544229E-4</v>
      </c>
      <c r="H145" s="34">
        <v>145225</v>
      </c>
      <c r="I145" s="33">
        <v>1336</v>
      </c>
      <c r="J145" s="35">
        <v>3.3851614387544229E-4</v>
      </c>
      <c r="K145" s="34">
        <v>145225</v>
      </c>
      <c r="L145" s="33">
        <v>0</v>
      </c>
      <c r="M145" s="7"/>
    </row>
    <row r="146" spans="1:13" x14ac:dyDescent="0.2">
      <c r="A146" s="10">
        <f t="shared" si="4"/>
        <v>238</v>
      </c>
      <c r="B146" s="58" t="s">
        <v>47</v>
      </c>
      <c r="C146" s="58">
        <v>1940</v>
      </c>
      <c r="D146" s="33">
        <v>4783735</v>
      </c>
      <c r="E146" s="34">
        <v>1393599250</v>
      </c>
      <c r="F146" s="33">
        <v>1868</v>
      </c>
      <c r="G146" s="35">
        <v>3.9048985782030149E-4</v>
      </c>
      <c r="H146" s="34">
        <v>197125</v>
      </c>
      <c r="I146" s="33">
        <v>1868</v>
      </c>
      <c r="J146" s="35">
        <v>3.9048985782030149E-4</v>
      </c>
      <c r="K146" s="34">
        <v>197125</v>
      </c>
      <c r="L146" s="33">
        <v>0</v>
      </c>
      <c r="M146" s="7"/>
    </row>
    <row r="147" spans="1:13" x14ac:dyDescent="0.2">
      <c r="A147" s="10">
        <f t="shared" si="4"/>
        <v>240</v>
      </c>
      <c r="B147" s="58" t="s">
        <v>47</v>
      </c>
      <c r="C147" s="58">
        <v>1941</v>
      </c>
      <c r="D147" s="33">
        <v>1974236</v>
      </c>
      <c r="E147" s="34">
        <v>610870175</v>
      </c>
      <c r="F147" s="33">
        <v>1063</v>
      </c>
      <c r="G147" s="35">
        <v>5.384361342818184E-4</v>
      </c>
      <c r="H147" s="34">
        <v>155225</v>
      </c>
      <c r="I147" s="33">
        <v>1063</v>
      </c>
      <c r="J147" s="35">
        <v>5.384361342818184E-4</v>
      </c>
      <c r="K147" s="34">
        <v>155225</v>
      </c>
      <c r="L147" s="33">
        <v>0</v>
      </c>
      <c r="M147" s="7"/>
    </row>
    <row r="148" spans="1:13" x14ac:dyDescent="0.2">
      <c r="B148" s="74" t="s">
        <v>48</v>
      </c>
      <c r="C148" s="67"/>
      <c r="D148" s="45">
        <v>18559885</v>
      </c>
      <c r="E148" s="68">
        <v>5265102100</v>
      </c>
      <c r="F148" s="45">
        <v>7876</v>
      </c>
      <c r="G148" s="47">
        <v>4.2435607763733452E-4</v>
      </c>
      <c r="H148" s="46">
        <v>850950</v>
      </c>
      <c r="I148" s="45">
        <v>7876</v>
      </c>
      <c r="J148" s="47">
        <v>4.2435607763733452E-4</v>
      </c>
      <c r="K148" s="46">
        <v>850950</v>
      </c>
      <c r="L148" s="45">
        <v>0</v>
      </c>
    </row>
    <row r="149" spans="1:13" x14ac:dyDescent="0.2">
      <c r="B149" s="9"/>
      <c r="C149" s="9"/>
      <c r="D149" s="75"/>
      <c r="E149" s="9"/>
      <c r="F149" s="9"/>
      <c r="G149" s="9"/>
      <c r="H149" s="9"/>
      <c r="I149" s="9"/>
      <c r="J149" s="9"/>
      <c r="K149" s="9"/>
      <c r="L149" s="9"/>
      <c r="M149" s="7"/>
    </row>
    <row r="150" spans="1:13" x14ac:dyDescent="0.2">
      <c r="B150" s="51" t="s">
        <v>49</v>
      </c>
      <c r="C150" s="52"/>
      <c r="D150" s="53"/>
      <c r="E150" s="54"/>
      <c r="F150" s="18" t="s">
        <v>80</v>
      </c>
      <c r="G150" s="19"/>
      <c r="H150" s="20"/>
      <c r="I150" s="18" t="s">
        <v>81</v>
      </c>
      <c r="J150" s="19"/>
      <c r="K150" s="20"/>
      <c r="L150" s="55" t="s">
        <v>1</v>
      </c>
      <c r="M150" s="7"/>
    </row>
    <row r="151" spans="1:13" x14ac:dyDescent="0.2">
      <c r="B151" s="56" t="s">
        <v>31</v>
      </c>
      <c r="C151" s="57" t="s">
        <v>32</v>
      </c>
      <c r="D151" s="26" t="s">
        <v>3</v>
      </c>
      <c r="E151" s="25" t="s">
        <v>4</v>
      </c>
      <c r="F151" s="26" t="s">
        <v>3</v>
      </c>
      <c r="G151" s="27" t="s">
        <v>5</v>
      </c>
      <c r="H151" s="28" t="s">
        <v>6</v>
      </c>
      <c r="I151" s="26" t="s">
        <v>3</v>
      </c>
      <c r="J151" s="27" t="s">
        <v>5</v>
      </c>
      <c r="K151" s="28" t="s">
        <v>6</v>
      </c>
      <c r="L151" s="29" t="s">
        <v>7</v>
      </c>
      <c r="M151" s="7"/>
    </row>
    <row r="152" spans="1:13" x14ac:dyDescent="0.2">
      <c r="A152" s="10">
        <v>243</v>
      </c>
      <c r="B152" s="64" t="s">
        <v>21</v>
      </c>
      <c r="C152" s="65">
        <v>1941</v>
      </c>
      <c r="D152" s="61">
        <v>223681</v>
      </c>
      <c r="E152" s="60">
        <v>313530400</v>
      </c>
      <c r="F152" s="61">
        <v>161</v>
      </c>
      <c r="G152" s="71">
        <v>7.1977503677111596E-4</v>
      </c>
      <c r="H152" s="34">
        <v>61950</v>
      </c>
      <c r="I152" s="33">
        <v>161</v>
      </c>
      <c r="J152" s="71">
        <v>7.1977503677111596E-4</v>
      </c>
      <c r="K152" s="34">
        <v>61950</v>
      </c>
      <c r="L152" s="72">
        <v>0</v>
      </c>
      <c r="M152" s="7"/>
    </row>
    <row r="153" spans="1:13" x14ac:dyDescent="0.2">
      <c r="A153" s="10">
        <f>A152+2</f>
        <v>245</v>
      </c>
      <c r="B153" s="64" t="s">
        <v>21</v>
      </c>
      <c r="C153" s="65">
        <v>1942</v>
      </c>
      <c r="D153" s="61">
        <v>955390</v>
      </c>
      <c r="E153" s="60">
        <v>878916250</v>
      </c>
      <c r="F153" s="61">
        <v>2220</v>
      </c>
      <c r="G153" s="71">
        <v>2.3236584012811521E-3</v>
      </c>
      <c r="H153" s="34">
        <v>172475</v>
      </c>
      <c r="I153" s="33">
        <v>2220</v>
      </c>
      <c r="J153" s="71">
        <v>2.3236584012811521E-3</v>
      </c>
      <c r="K153" s="34">
        <v>172475</v>
      </c>
      <c r="L153" s="72">
        <v>0</v>
      </c>
      <c r="M153" s="7"/>
    </row>
    <row r="154" spans="1:13" x14ac:dyDescent="0.2">
      <c r="A154" s="10">
        <f t="shared" ref="A154:A163" si="5">A153+2</f>
        <v>247</v>
      </c>
      <c r="B154" s="64" t="s">
        <v>21</v>
      </c>
      <c r="C154" s="65">
        <v>1943</v>
      </c>
      <c r="D154" s="61">
        <v>1107907</v>
      </c>
      <c r="E154" s="60">
        <v>987330225</v>
      </c>
      <c r="F154" s="61">
        <v>2422</v>
      </c>
      <c r="G154" s="71">
        <v>2.1861040683017617E-3</v>
      </c>
      <c r="H154" s="34">
        <v>214075</v>
      </c>
      <c r="I154" s="33">
        <v>2422</v>
      </c>
      <c r="J154" s="71">
        <v>2.1861040683017617E-3</v>
      </c>
      <c r="K154" s="34">
        <v>214075</v>
      </c>
      <c r="L154" s="72">
        <v>0</v>
      </c>
      <c r="M154" s="7"/>
    </row>
    <row r="155" spans="1:13" x14ac:dyDescent="0.2">
      <c r="A155" s="10">
        <f t="shared" si="5"/>
        <v>249</v>
      </c>
      <c r="B155" s="64" t="s">
        <v>21</v>
      </c>
      <c r="C155" s="65">
        <v>1944</v>
      </c>
      <c r="D155" s="61">
        <v>1134576</v>
      </c>
      <c r="E155" s="60">
        <v>1049357075</v>
      </c>
      <c r="F155" s="61">
        <v>2187</v>
      </c>
      <c r="G155" s="71">
        <v>1.9275923340525446E-3</v>
      </c>
      <c r="H155" s="34">
        <v>237550</v>
      </c>
      <c r="I155" s="33">
        <v>2187</v>
      </c>
      <c r="J155" s="71">
        <v>1.9275923340525446E-3</v>
      </c>
      <c r="K155" s="34">
        <v>237550</v>
      </c>
      <c r="L155" s="72">
        <v>0</v>
      </c>
      <c r="M155" s="7"/>
    </row>
    <row r="156" spans="1:13" x14ac:dyDescent="0.2">
      <c r="A156" s="10">
        <f t="shared" si="5"/>
        <v>251</v>
      </c>
      <c r="B156" s="64" t="s">
        <v>21</v>
      </c>
      <c r="C156" s="65">
        <v>1945</v>
      </c>
      <c r="D156" s="61">
        <v>746760</v>
      </c>
      <c r="E156" s="60">
        <v>804303925</v>
      </c>
      <c r="F156" s="61">
        <v>1229</v>
      </c>
      <c r="G156" s="71">
        <v>1.6457764208045423E-3</v>
      </c>
      <c r="H156" s="34">
        <v>100625</v>
      </c>
      <c r="I156" s="33">
        <v>1229</v>
      </c>
      <c r="J156" s="71">
        <v>1.6457764208045423E-3</v>
      </c>
      <c r="K156" s="34">
        <v>100625</v>
      </c>
      <c r="L156" s="72">
        <v>0</v>
      </c>
      <c r="M156" s="7"/>
    </row>
    <row r="157" spans="1:13" x14ac:dyDescent="0.2">
      <c r="A157" s="10">
        <f t="shared" si="5"/>
        <v>253</v>
      </c>
      <c r="B157" s="64" t="s">
        <v>21</v>
      </c>
      <c r="C157" s="65">
        <v>1946</v>
      </c>
      <c r="D157" s="61">
        <v>325867</v>
      </c>
      <c r="E157" s="60">
        <v>444087525</v>
      </c>
      <c r="F157" s="61">
        <v>243</v>
      </c>
      <c r="G157" s="71">
        <v>7.4570300153129962E-4</v>
      </c>
      <c r="H157" s="34">
        <v>33275</v>
      </c>
      <c r="I157" s="33">
        <v>243</v>
      </c>
      <c r="J157" s="71">
        <v>7.4570300153129962E-4</v>
      </c>
      <c r="K157" s="34">
        <v>33275</v>
      </c>
      <c r="L157" s="72">
        <v>0</v>
      </c>
      <c r="M157" s="7"/>
    </row>
    <row r="158" spans="1:13" x14ac:dyDescent="0.2">
      <c r="A158" s="10">
        <f t="shared" si="5"/>
        <v>255</v>
      </c>
      <c r="B158" s="64" t="s">
        <v>21</v>
      </c>
      <c r="C158" s="65">
        <v>1947</v>
      </c>
      <c r="D158" s="61">
        <v>294367</v>
      </c>
      <c r="E158" s="60">
        <v>458935800</v>
      </c>
      <c r="F158" s="61">
        <v>160</v>
      </c>
      <c r="G158" s="71">
        <v>5.4353918747685717E-4</v>
      </c>
      <c r="H158" s="34">
        <v>44800</v>
      </c>
      <c r="I158" s="33">
        <v>160</v>
      </c>
      <c r="J158" s="71">
        <v>5.4353918747685717E-4</v>
      </c>
      <c r="K158" s="34">
        <v>44800</v>
      </c>
      <c r="L158" s="72">
        <v>0</v>
      </c>
      <c r="M158" s="7"/>
    </row>
    <row r="159" spans="1:13" x14ac:dyDescent="0.2">
      <c r="A159" s="10">
        <f t="shared" si="5"/>
        <v>257</v>
      </c>
      <c r="B159" s="64" t="s">
        <v>21</v>
      </c>
      <c r="C159" s="65">
        <v>1948</v>
      </c>
      <c r="D159" s="61">
        <v>263285</v>
      </c>
      <c r="E159" s="60">
        <v>664064925</v>
      </c>
      <c r="F159" s="61">
        <v>107</v>
      </c>
      <c r="G159" s="71">
        <v>4.0640370700951442E-4</v>
      </c>
      <c r="H159" s="34">
        <v>16300</v>
      </c>
      <c r="I159" s="33">
        <v>107</v>
      </c>
      <c r="J159" s="71">
        <v>4.0640370700951442E-4</v>
      </c>
      <c r="K159" s="34">
        <v>16300</v>
      </c>
      <c r="L159" s="72">
        <v>0</v>
      </c>
      <c r="M159" s="7"/>
    </row>
    <row r="160" spans="1:13" x14ac:dyDescent="0.2">
      <c r="A160" s="10">
        <f t="shared" si="5"/>
        <v>259</v>
      </c>
      <c r="B160" s="64" t="s">
        <v>21</v>
      </c>
      <c r="C160" s="65">
        <v>1949</v>
      </c>
      <c r="D160" s="61">
        <v>205794</v>
      </c>
      <c r="E160" s="60">
        <v>320976200</v>
      </c>
      <c r="F160" s="61">
        <v>131</v>
      </c>
      <c r="G160" s="71">
        <v>6.3655888898607341E-4</v>
      </c>
      <c r="H160" s="34">
        <v>49200</v>
      </c>
      <c r="I160" s="33">
        <v>131</v>
      </c>
      <c r="J160" s="71">
        <v>6.3655888898607341E-4</v>
      </c>
      <c r="K160" s="34">
        <v>49200</v>
      </c>
      <c r="L160" s="72">
        <v>0</v>
      </c>
      <c r="M160" s="7"/>
    </row>
    <row r="161" spans="1:13" x14ac:dyDescent="0.2">
      <c r="A161" s="10">
        <f t="shared" si="5"/>
        <v>261</v>
      </c>
      <c r="B161" s="64" t="s">
        <v>21</v>
      </c>
      <c r="C161" s="65">
        <v>1950</v>
      </c>
      <c r="D161" s="61">
        <v>199217</v>
      </c>
      <c r="E161" s="60">
        <v>553000900</v>
      </c>
      <c r="F161" s="61">
        <v>100</v>
      </c>
      <c r="G161" s="71">
        <v>5.0196519373346649E-4</v>
      </c>
      <c r="H161" s="34">
        <v>15075</v>
      </c>
      <c r="I161" s="33">
        <v>100</v>
      </c>
      <c r="J161" s="71">
        <v>5.0196519373346649E-4</v>
      </c>
      <c r="K161" s="34">
        <v>15075</v>
      </c>
      <c r="L161" s="72">
        <v>0</v>
      </c>
      <c r="M161" s="7"/>
    </row>
    <row r="162" spans="1:13" x14ac:dyDescent="0.2">
      <c r="A162" s="10">
        <f t="shared" si="5"/>
        <v>263</v>
      </c>
      <c r="B162" s="64" t="s">
        <v>21</v>
      </c>
      <c r="C162" s="65">
        <v>1951</v>
      </c>
      <c r="D162" s="61">
        <v>128103</v>
      </c>
      <c r="E162" s="60">
        <v>169336075</v>
      </c>
      <c r="F162" s="61">
        <v>104</v>
      </c>
      <c r="G162" s="71">
        <v>8.1184671709483779E-4</v>
      </c>
      <c r="H162" s="34">
        <v>8025</v>
      </c>
      <c r="I162" s="33">
        <v>104</v>
      </c>
      <c r="J162" s="71">
        <v>8.1184671709483779E-4</v>
      </c>
      <c r="K162" s="34">
        <v>8025</v>
      </c>
      <c r="L162" s="72">
        <v>0</v>
      </c>
      <c r="M162" s="7"/>
    </row>
    <row r="163" spans="1:13" x14ac:dyDescent="0.2">
      <c r="A163" s="10">
        <f t="shared" si="5"/>
        <v>265</v>
      </c>
      <c r="B163" s="64" t="s">
        <v>21</v>
      </c>
      <c r="C163" s="65">
        <v>1952</v>
      </c>
      <c r="D163" s="61">
        <v>39392</v>
      </c>
      <c r="E163" s="60">
        <v>55701400</v>
      </c>
      <c r="F163" s="61">
        <v>44</v>
      </c>
      <c r="G163" s="71">
        <v>1.1169780666125102E-3</v>
      </c>
      <c r="H163" s="34">
        <v>13975</v>
      </c>
      <c r="I163" s="33">
        <v>44</v>
      </c>
      <c r="J163" s="71">
        <v>1.1169780666125102E-3</v>
      </c>
      <c r="K163" s="34">
        <v>13975</v>
      </c>
      <c r="L163" s="72">
        <v>0</v>
      </c>
      <c r="M163" s="7"/>
    </row>
    <row r="164" spans="1:13" x14ac:dyDescent="0.2">
      <c r="B164" s="76" t="s">
        <v>50</v>
      </c>
      <c r="C164" s="77"/>
      <c r="D164" s="45">
        <v>5624339</v>
      </c>
      <c r="E164" s="68">
        <v>6699540700</v>
      </c>
      <c r="F164" s="45">
        <v>9108</v>
      </c>
      <c r="G164" s="47">
        <v>1.619390296353047E-3</v>
      </c>
      <c r="H164" s="46">
        <v>967325</v>
      </c>
      <c r="I164" s="45">
        <v>9108</v>
      </c>
      <c r="J164" s="47">
        <v>1.619390296353047E-3</v>
      </c>
      <c r="K164" s="46">
        <v>967325</v>
      </c>
      <c r="L164" s="45">
        <v>0</v>
      </c>
    </row>
    <row r="165" spans="1:13" x14ac:dyDescent="0.2"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7"/>
    </row>
    <row r="166" spans="1:13" x14ac:dyDescent="0.2">
      <c r="B166" s="51" t="s">
        <v>51</v>
      </c>
      <c r="C166" s="52"/>
      <c r="D166" s="53"/>
      <c r="E166" s="54"/>
      <c r="F166" s="18" t="s">
        <v>80</v>
      </c>
      <c r="G166" s="19"/>
      <c r="H166" s="20"/>
      <c r="I166" s="18" t="s">
        <v>81</v>
      </c>
      <c r="J166" s="19"/>
      <c r="K166" s="20"/>
      <c r="L166" s="55" t="s">
        <v>1</v>
      </c>
      <c r="M166" s="7"/>
    </row>
    <row r="167" spans="1:13" x14ac:dyDescent="0.2">
      <c r="B167" s="56" t="s">
        <v>31</v>
      </c>
      <c r="C167" s="57" t="s">
        <v>32</v>
      </c>
      <c r="D167" s="26" t="s">
        <v>3</v>
      </c>
      <c r="E167" s="25" t="s">
        <v>4</v>
      </c>
      <c r="F167" s="26" t="s">
        <v>3</v>
      </c>
      <c r="G167" s="27" t="s">
        <v>5</v>
      </c>
      <c r="H167" s="28" t="s">
        <v>6</v>
      </c>
      <c r="I167" s="26" t="s">
        <v>3</v>
      </c>
      <c r="J167" s="27" t="s">
        <v>5</v>
      </c>
      <c r="K167" s="28" t="s">
        <v>6</v>
      </c>
      <c r="L167" s="29" t="s">
        <v>7</v>
      </c>
      <c r="M167" s="7"/>
    </row>
    <row r="168" spans="1:13" x14ac:dyDescent="0.2">
      <c r="A168" s="10">
        <v>268</v>
      </c>
      <c r="B168" s="64" t="s">
        <v>23</v>
      </c>
      <c r="C168" s="65">
        <v>1941</v>
      </c>
      <c r="D168" s="61">
        <v>772805</v>
      </c>
      <c r="E168" s="60">
        <v>1277271400</v>
      </c>
      <c r="F168" s="61">
        <v>125</v>
      </c>
      <c r="G168" s="71">
        <v>1.6174843589262492E-4</v>
      </c>
      <c r="H168" s="34">
        <v>47800</v>
      </c>
      <c r="I168" s="33">
        <v>125</v>
      </c>
      <c r="J168" s="71">
        <v>1.6174843589262492E-4</v>
      </c>
      <c r="K168" s="34">
        <v>47800</v>
      </c>
      <c r="L168" s="72">
        <v>0</v>
      </c>
      <c r="M168" s="7"/>
    </row>
    <row r="169" spans="1:13" x14ac:dyDescent="0.2">
      <c r="A169" s="10">
        <f>A168+2</f>
        <v>270</v>
      </c>
      <c r="B169" s="64" t="s">
        <v>23</v>
      </c>
      <c r="C169" s="65">
        <v>1942</v>
      </c>
      <c r="D169" s="61">
        <v>1971799</v>
      </c>
      <c r="E169" s="60">
        <v>2493047100</v>
      </c>
      <c r="F169" s="61">
        <v>602</v>
      </c>
      <c r="G169" s="71">
        <v>3.0530495248247918E-4</v>
      </c>
      <c r="H169" s="34">
        <v>193100</v>
      </c>
      <c r="I169" s="33">
        <v>602</v>
      </c>
      <c r="J169" s="71">
        <v>3.0530495248247918E-4</v>
      </c>
      <c r="K169" s="34">
        <v>193100</v>
      </c>
      <c r="L169" s="72">
        <v>0</v>
      </c>
      <c r="M169" s="7"/>
    </row>
    <row r="170" spans="1:13" x14ac:dyDescent="0.2">
      <c r="A170" s="10">
        <f t="shared" ref="A170:A179" si="6">A169+2</f>
        <v>272</v>
      </c>
      <c r="B170" s="64" t="s">
        <v>23</v>
      </c>
      <c r="C170" s="65">
        <v>1943</v>
      </c>
      <c r="D170" s="61">
        <v>2511966</v>
      </c>
      <c r="E170" s="60">
        <v>2598127000</v>
      </c>
      <c r="F170" s="61">
        <v>927</v>
      </c>
      <c r="G170" s="71">
        <v>3.690336573026864E-4</v>
      </c>
      <c r="H170" s="34">
        <v>267900</v>
      </c>
      <c r="I170" s="33">
        <v>927</v>
      </c>
      <c r="J170" s="71">
        <v>3.690336573026864E-4</v>
      </c>
      <c r="K170" s="34">
        <v>267900</v>
      </c>
      <c r="L170" s="72">
        <v>0</v>
      </c>
      <c r="M170" s="7"/>
    </row>
    <row r="171" spans="1:13" x14ac:dyDescent="0.2">
      <c r="A171" s="10">
        <f t="shared" si="6"/>
        <v>274</v>
      </c>
      <c r="B171" s="64" t="s">
        <v>23</v>
      </c>
      <c r="C171" s="65">
        <v>1944</v>
      </c>
      <c r="D171" s="61">
        <v>2743135</v>
      </c>
      <c r="E171" s="60">
        <v>2894069000</v>
      </c>
      <c r="F171" s="61">
        <v>1252</v>
      </c>
      <c r="G171" s="71">
        <v>4.5641209783696391E-4</v>
      </c>
      <c r="H171" s="34">
        <v>336100</v>
      </c>
      <c r="I171" s="33">
        <v>1252</v>
      </c>
      <c r="J171" s="71">
        <v>4.5641209783696391E-4</v>
      </c>
      <c r="K171" s="34">
        <v>336100</v>
      </c>
      <c r="L171" s="72">
        <v>0</v>
      </c>
      <c r="M171" s="7"/>
    </row>
    <row r="172" spans="1:13" x14ac:dyDescent="0.2">
      <c r="A172" s="10">
        <f t="shared" si="6"/>
        <v>276</v>
      </c>
      <c r="B172" s="64" t="s">
        <v>23</v>
      </c>
      <c r="C172" s="65">
        <v>1945</v>
      </c>
      <c r="D172" s="61">
        <v>2086461</v>
      </c>
      <c r="E172" s="60">
        <v>2542313400</v>
      </c>
      <c r="F172" s="61">
        <v>819</v>
      </c>
      <c r="G172" s="71">
        <v>3.9253070150843943E-4</v>
      </c>
      <c r="H172" s="34">
        <v>314700</v>
      </c>
      <c r="I172" s="33">
        <v>819</v>
      </c>
      <c r="J172" s="71">
        <v>3.9253070150843943E-4</v>
      </c>
      <c r="K172" s="34">
        <v>314700</v>
      </c>
      <c r="L172" s="72">
        <v>0</v>
      </c>
      <c r="M172" s="7"/>
    </row>
    <row r="173" spans="1:13" x14ac:dyDescent="0.2">
      <c r="A173" s="10">
        <f t="shared" si="6"/>
        <v>278</v>
      </c>
      <c r="B173" s="64" t="s">
        <v>23</v>
      </c>
      <c r="C173" s="65">
        <v>1946</v>
      </c>
      <c r="D173" s="61">
        <v>1813130</v>
      </c>
      <c r="E173" s="60">
        <v>2663903100</v>
      </c>
      <c r="F173" s="61">
        <v>348</v>
      </c>
      <c r="G173" s="71">
        <v>1.9193328663692069E-4</v>
      </c>
      <c r="H173" s="34">
        <v>190500</v>
      </c>
      <c r="I173" s="33">
        <v>348</v>
      </c>
      <c r="J173" s="71">
        <v>1.9193328663692069E-4</v>
      </c>
      <c r="K173" s="34">
        <v>190500</v>
      </c>
      <c r="L173" s="72">
        <v>0</v>
      </c>
      <c r="M173" s="7"/>
    </row>
    <row r="174" spans="1:13" x14ac:dyDescent="0.2">
      <c r="A174" s="10">
        <f t="shared" si="6"/>
        <v>280</v>
      </c>
      <c r="B174" s="64" t="s">
        <v>23</v>
      </c>
      <c r="C174" s="65">
        <v>1947</v>
      </c>
      <c r="D174" s="61">
        <v>1572990</v>
      </c>
      <c r="E174" s="60">
        <v>2247340000</v>
      </c>
      <c r="F174" s="61">
        <v>318</v>
      </c>
      <c r="G174" s="71">
        <v>2.0216276009383404E-4</v>
      </c>
      <c r="H174" s="34">
        <v>183200</v>
      </c>
      <c r="I174" s="33">
        <v>318</v>
      </c>
      <c r="J174" s="71">
        <v>2.0216276009383404E-4</v>
      </c>
      <c r="K174" s="34">
        <v>183200</v>
      </c>
      <c r="L174" s="72">
        <v>0</v>
      </c>
      <c r="M174" s="7"/>
    </row>
    <row r="175" spans="1:13" x14ac:dyDescent="0.2">
      <c r="A175" s="10">
        <f t="shared" si="6"/>
        <v>282</v>
      </c>
      <c r="B175" s="64" t="s">
        <v>23</v>
      </c>
      <c r="C175" s="65">
        <v>1948</v>
      </c>
      <c r="D175" s="61">
        <v>1283790</v>
      </c>
      <c r="E175" s="60">
        <v>2542183700</v>
      </c>
      <c r="F175" s="61">
        <v>313</v>
      </c>
      <c r="G175" s="71">
        <v>2.4380934576527313E-4</v>
      </c>
      <c r="H175" s="34">
        <v>159700</v>
      </c>
      <c r="I175" s="33">
        <v>313</v>
      </c>
      <c r="J175" s="71">
        <v>2.4380934576527313E-4</v>
      </c>
      <c r="K175" s="34">
        <v>159700</v>
      </c>
      <c r="L175" s="72">
        <v>0</v>
      </c>
      <c r="M175" s="7"/>
    </row>
    <row r="176" spans="1:13" x14ac:dyDescent="0.2">
      <c r="A176" s="10">
        <f t="shared" si="6"/>
        <v>284</v>
      </c>
      <c r="B176" s="64" t="s">
        <v>23</v>
      </c>
      <c r="C176" s="65">
        <v>1949</v>
      </c>
      <c r="D176" s="61">
        <v>992606</v>
      </c>
      <c r="E176" s="60">
        <v>1433060200</v>
      </c>
      <c r="F176" s="61">
        <v>312</v>
      </c>
      <c r="G176" s="71">
        <v>3.1432411248773429E-4</v>
      </c>
      <c r="H176" s="34">
        <v>189700</v>
      </c>
      <c r="I176" s="33">
        <v>312</v>
      </c>
      <c r="J176" s="71">
        <v>3.1432411248773429E-4</v>
      </c>
      <c r="K176" s="34">
        <v>189700</v>
      </c>
      <c r="L176" s="72">
        <v>0</v>
      </c>
      <c r="M176" s="7"/>
    </row>
    <row r="177" spans="1:13" x14ac:dyDescent="0.2">
      <c r="A177" s="10">
        <f t="shared" si="6"/>
        <v>286</v>
      </c>
      <c r="B177" s="64" t="s">
        <v>23</v>
      </c>
      <c r="C177" s="65">
        <v>1950</v>
      </c>
      <c r="D177" s="61">
        <v>857048</v>
      </c>
      <c r="E177" s="60">
        <v>1938695600</v>
      </c>
      <c r="F177" s="61">
        <v>230</v>
      </c>
      <c r="G177" s="71">
        <v>2.6836303217556075E-4</v>
      </c>
      <c r="H177" s="34">
        <v>116500</v>
      </c>
      <c r="I177" s="33">
        <v>230</v>
      </c>
      <c r="J177" s="71">
        <v>2.6836303217556075E-4</v>
      </c>
      <c r="K177" s="34">
        <v>116500</v>
      </c>
      <c r="L177" s="72">
        <v>0</v>
      </c>
      <c r="M177" s="7"/>
    </row>
    <row r="178" spans="1:13" x14ac:dyDescent="0.2">
      <c r="A178" s="10">
        <f t="shared" si="6"/>
        <v>288</v>
      </c>
      <c r="B178" s="64" t="s">
        <v>23</v>
      </c>
      <c r="C178" s="65">
        <v>1951</v>
      </c>
      <c r="D178" s="61">
        <v>507070</v>
      </c>
      <c r="E178" s="60">
        <v>644428000</v>
      </c>
      <c r="F178" s="61">
        <v>241</v>
      </c>
      <c r="G178" s="71">
        <v>4.7527954720255584E-4</v>
      </c>
      <c r="H178" s="34">
        <v>97500</v>
      </c>
      <c r="I178" s="33">
        <v>241</v>
      </c>
      <c r="J178" s="71">
        <v>4.7527954720255584E-4</v>
      </c>
      <c r="K178" s="34">
        <v>97500</v>
      </c>
      <c r="L178" s="72">
        <v>0</v>
      </c>
      <c r="M178" s="7"/>
    </row>
    <row r="179" spans="1:13" x14ac:dyDescent="0.2">
      <c r="A179" s="10">
        <f t="shared" si="6"/>
        <v>290</v>
      </c>
      <c r="B179" s="64" t="s">
        <v>23</v>
      </c>
      <c r="C179" s="65">
        <v>1952</v>
      </c>
      <c r="D179" s="61">
        <v>147202</v>
      </c>
      <c r="E179" s="60">
        <v>163428200</v>
      </c>
      <c r="F179" s="61">
        <v>71</v>
      </c>
      <c r="G179" s="71">
        <v>4.8233040311952284E-4</v>
      </c>
      <c r="H179" s="34">
        <v>35000</v>
      </c>
      <c r="I179" s="33">
        <v>71</v>
      </c>
      <c r="J179" s="71">
        <v>4.8233040311952284E-4</v>
      </c>
      <c r="K179" s="34">
        <v>35000</v>
      </c>
      <c r="L179" s="72">
        <v>0</v>
      </c>
      <c r="M179" s="7"/>
    </row>
    <row r="180" spans="1:13" x14ac:dyDescent="0.2">
      <c r="B180" s="74" t="s">
        <v>52</v>
      </c>
      <c r="C180" s="67"/>
      <c r="D180" s="45">
        <v>17260002</v>
      </c>
      <c r="E180" s="68">
        <v>23437866700</v>
      </c>
      <c r="F180" s="45">
        <v>5558</v>
      </c>
      <c r="G180" s="47">
        <v>3.2201618516614311E-4</v>
      </c>
      <c r="H180" s="46">
        <v>2131700</v>
      </c>
      <c r="I180" s="45">
        <v>5558</v>
      </c>
      <c r="J180" s="47">
        <v>3.2201618516614311E-4</v>
      </c>
      <c r="K180" s="46">
        <v>2131700</v>
      </c>
      <c r="L180" s="45">
        <v>0</v>
      </c>
    </row>
    <row r="181" spans="1:13" x14ac:dyDescent="0.2"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7"/>
    </row>
    <row r="182" spans="1:13" x14ac:dyDescent="0.2">
      <c r="B182" s="51" t="s">
        <v>53</v>
      </c>
      <c r="C182" s="52"/>
      <c r="D182" s="53"/>
      <c r="E182" s="54"/>
      <c r="F182" s="18" t="s">
        <v>80</v>
      </c>
      <c r="G182" s="19"/>
      <c r="H182" s="20"/>
      <c r="I182" s="18" t="s">
        <v>81</v>
      </c>
      <c r="J182" s="19"/>
      <c r="K182" s="20"/>
      <c r="L182" s="55" t="s">
        <v>1</v>
      </c>
      <c r="M182" s="7"/>
    </row>
    <row r="183" spans="1:13" x14ac:dyDescent="0.2">
      <c r="B183" s="56" t="s">
        <v>31</v>
      </c>
      <c r="C183" s="57" t="s">
        <v>32</v>
      </c>
      <c r="D183" s="26" t="s">
        <v>3</v>
      </c>
      <c r="E183" s="25" t="s">
        <v>4</v>
      </c>
      <c r="F183" s="26" t="s">
        <v>3</v>
      </c>
      <c r="G183" s="27" t="s">
        <v>5</v>
      </c>
      <c r="H183" s="28" t="s">
        <v>6</v>
      </c>
      <c r="I183" s="26" t="s">
        <v>3</v>
      </c>
      <c r="J183" s="27" t="s">
        <v>5</v>
      </c>
      <c r="K183" s="28" t="s">
        <v>6</v>
      </c>
      <c r="L183" s="29" t="s">
        <v>7</v>
      </c>
      <c r="M183" s="7"/>
    </row>
    <row r="184" spans="1:13" x14ac:dyDescent="0.2">
      <c r="A184" s="10">
        <v>293</v>
      </c>
      <c r="B184" s="64" t="s">
        <v>25</v>
      </c>
      <c r="C184" s="65">
        <v>1952</v>
      </c>
      <c r="D184" s="61">
        <v>73181</v>
      </c>
      <c r="E184" s="60">
        <v>122826450</v>
      </c>
      <c r="F184" s="61">
        <v>157</v>
      </c>
      <c r="G184" s="71">
        <v>2.1453656003607492E-3</v>
      </c>
      <c r="H184" s="34">
        <v>12500</v>
      </c>
      <c r="I184" s="33">
        <v>157</v>
      </c>
      <c r="J184" s="71">
        <v>2.1453656003607492E-3</v>
      </c>
      <c r="K184" s="34">
        <v>12500</v>
      </c>
      <c r="L184" s="72">
        <v>0</v>
      </c>
      <c r="M184" s="7"/>
    </row>
    <row r="185" spans="1:13" x14ac:dyDescent="0.2">
      <c r="A185" s="10">
        <f>A184+2</f>
        <v>295</v>
      </c>
      <c r="B185" s="64" t="s">
        <v>25</v>
      </c>
      <c r="C185" s="65">
        <v>1953</v>
      </c>
      <c r="D185" s="61">
        <v>122122</v>
      </c>
      <c r="E185" s="60">
        <v>181417725</v>
      </c>
      <c r="F185" s="61">
        <v>213</v>
      </c>
      <c r="G185" s="71">
        <v>1.7441574818623999E-3</v>
      </c>
      <c r="H185" s="34">
        <v>19475</v>
      </c>
      <c r="I185" s="33">
        <v>213</v>
      </c>
      <c r="J185" s="71">
        <v>1.7441574818623999E-3</v>
      </c>
      <c r="K185" s="34">
        <v>19475</v>
      </c>
      <c r="L185" s="72">
        <v>0</v>
      </c>
      <c r="M185" s="7"/>
    </row>
    <row r="186" spans="1:13" x14ac:dyDescent="0.2">
      <c r="A186" s="10">
        <f>A185+2</f>
        <v>297</v>
      </c>
      <c r="B186" s="64" t="s">
        <v>25</v>
      </c>
      <c r="C186" s="65">
        <v>1954</v>
      </c>
      <c r="D186" s="61">
        <v>200983</v>
      </c>
      <c r="E186" s="60">
        <v>459469075</v>
      </c>
      <c r="F186" s="61">
        <v>319</v>
      </c>
      <c r="G186" s="71">
        <v>1.5871989173213655E-3</v>
      </c>
      <c r="H186" s="34">
        <v>44475</v>
      </c>
      <c r="I186" s="33">
        <v>319</v>
      </c>
      <c r="J186" s="71">
        <v>1.5871989173213655E-3</v>
      </c>
      <c r="K186" s="34">
        <v>44475</v>
      </c>
      <c r="L186" s="72">
        <v>0</v>
      </c>
      <c r="M186" s="7"/>
    </row>
    <row r="187" spans="1:13" x14ac:dyDescent="0.2">
      <c r="A187" s="10">
        <f>A186+2</f>
        <v>299</v>
      </c>
      <c r="B187" s="64" t="s">
        <v>25</v>
      </c>
      <c r="C187" s="65">
        <v>1955</v>
      </c>
      <c r="D187" s="61">
        <v>191070</v>
      </c>
      <c r="E187" s="60">
        <v>331524900</v>
      </c>
      <c r="F187" s="61">
        <v>476</v>
      </c>
      <c r="G187" s="71">
        <v>2.4912335793164809E-3</v>
      </c>
      <c r="H187" s="34">
        <v>59775</v>
      </c>
      <c r="I187" s="33">
        <v>476</v>
      </c>
      <c r="J187" s="71">
        <v>2.4912335793164809E-3</v>
      </c>
      <c r="K187" s="34">
        <v>59775</v>
      </c>
      <c r="L187" s="72">
        <v>0</v>
      </c>
      <c r="M187" s="7"/>
    </row>
    <row r="188" spans="1:13" x14ac:dyDescent="0.2">
      <c r="A188" s="10">
        <f>A187+2</f>
        <v>301</v>
      </c>
      <c r="B188" s="64" t="s">
        <v>25</v>
      </c>
      <c r="C188" s="65">
        <v>1956</v>
      </c>
      <c r="D188" s="61">
        <v>164353</v>
      </c>
      <c r="E188" s="60">
        <v>210560125</v>
      </c>
      <c r="F188" s="61">
        <v>460</v>
      </c>
      <c r="G188" s="71">
        <v>2.7988536868812858E-3</v>
      </c>
      <c r="H188" s="34">
        <v>67975</v>
      </c>
      <c r="I188" s="33">
        <v>460</v>
      </c>
      <c r="J188" s="71">
        <v>2.7988536868812858E-3</v>
      </c>
      <c r="K188" s="34">
        <v>67975</v>
      </c>
      <c r="L188" s="72">
        <v>0</v>
      </c>
      <c r="M188" s="7"/>
    </row>
    <row r="189" spans="1:13" x14ac:dyDescent="0.2">
      <c r="A189" s="10">
        <f>A188+2</f>
        <v>303</v>
      </c>
      <c r="B189" s="64" t="s">
        <v>25</v>
      </c>
      <c r="C189" s="65">
        <v>1957</v>
      </c>
      <c r="D189" s="61">
        <v>41645</v>
      </c>
      <c r="E189" s="60">
        <v>44806525</v>
      </c>
      <c r="F189" s="61">
        <v>149</v>
      </c>
      <c r="G189" s="71">
        <v>3.577860487453476E-3</v>
      </c>
      <c r="H189" s="34">
        <v>27325</v>
      </c>
      <c r="I189" s="33">
        <v>149</v>
      </c>
      <c r="J189" s="71">
        <v>3.577860487453476E-3</v>
      </c>
      <c r="K189" s="34">
        <v>27325</v>
      </c>
      <c r="L189" s="72">
        <v>0</v>
      </c>
      <c r="M189" s="7"/>
    </row>
    <row r="190" spans="1:13" x14ac:dyDescent="0.2">
      <c r="B190" s="74" t="s">
        <v>54</v>
      </c>
      <c r="C190" s="67"/>
      <c r="D190" s="45">
        <v>793354</v>
      </c>
      <c r="E190" s="68">
        <v>1350604800</v>
      </c>
      <c r="F190" s="45">
        <v>1774</v>
      </c>
      <c r="G190" s="47">
        <v>2.2360762030568951E-3</v>
      </c>
      <c r="H190" s="46">
        <v>231525</v>
      </c>
      <c r="I190" s="45">
        <v>1774</v>
      </c>
      <c r="J190" s="47">
        <v>2.2360762030568951E-3</v>
      </c>
      <c r="K190" s="46">
        <v>231525</v>
      </c>
      <c r="L190" s="45">
        <v>0</v>
      </c>
    </row>
    <row r="191" spans="1:13" x14ac:dyDescent="0.2"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7"/>
    </row>
    <row r="192" spans="1:13" x14ac:dyDescent="0.2">
      <c r="B192" s="51" t="s">
        <v>55</v>
      </c>
      <c r="C192" s="52"/>
      <c r="D192" s="53"/>
      <c r="E192" s="54"/>
      <c r="F192" s="18" t="s">
        <v>80</v>
      </c>
      <c r="G192" s="19"/>
      <c r="H192" s="20"/>
      <c r="I192" s="18" t="s">
        <v>81</v>
      </c>
      <c r="J192" s="19"/>
      <c r="K192" s="20"/>
      <c r="L192" s="55" t="s">
        <v>1</v>
      </c>
      <c r="M192" s="7"/>
    </row>
    <row r="193" spans="1:13" x14ac:dyDescent="0.2">
      <c r="B193" s="56" t="s">
        <v>31</v>
      </c>
      <c r="C193" s="57" t="s">
        <v>32</v>
      </c>
      <c r="D193" s="26" t="s">
        <v>3</v>
      </c>
      <c r="E193" s="25" t="s">
        <v>4</v>
      </c>
      <c r="F193" s="26" t="s">
        <v>3</v>
      </c>
      <c r="G193" s="27" t="s">
        <v>5</v>
      </c>
      <c r="H193" s="28" t="s">
        <v>6</v>
      </c>
      <c r="I193" s="26" t="s">
        <v>3</v>
      </c>
      <c r="J193" s="27" t="s">
        <v>5</v>
      </c>
      <c r="K193" s="28" t="s">
        <v>6</v>
      </c>
      <c r="L193" s="29" t="s">
        <v>7</v>
      </c>
      <c r="M193" s="7"/>
    </row>
    <row r="194" spans="1:13" x14ac:dyDescent="0.2">
      <c r="A194" s="10">
        <v>306</v>
      </c>
      <c r="B194" s="64" t="s">
        <v>27</v>
      </c>
      <c r="C194" s="65">
        <v>1952</v>
      </c>
      <c r="D194" s="61">
        <v>121011</v>
      </c>
      <c r="E194" s="60">
        <v>291932000</v>
      </c>
      <c r="F194" s="61">
        <v>18</v>
      </c>
      <c r="G194" s="71">
        <v>1.4874680814140864E-4</v>
      </c>
      <c r="H194" s="34">
        <v>12500</v>
      </c>
      <c r="I194" s="33">
        <v>18</v>
      </c>
      <c r="J194" s="71">
        <v>1.4874680814140864E-4</v>
      </c>
      <c r="K194" s="34">
        <v>12500</v>
      </c>
      <c r="L194" s="72">
        <v>0</v>
      </c>
      <c r="M194" s="7"/>
    </row>
    <row r="195" spans="1:13" x14ac:dyDescent="0.2">
      <c r="A195" s="10">
        <f>A194+2</f>
        <v>308</v>
      </c>
      <c r="B195" s="64" t="s">
        <v>27</v>
      </c>
      <c r="C195" s="65">
        <v>1953</v>
      </c>
      <c r="D195" s="61">
        <v>151721</v>
      </c>
      <c r="E195" s="60">
        <v>302931500</v>
      </c>
      <c r="F195" s="61">
        <v>12</v>
      </c>
      <c r="G195" s="71">
        <v>7.9092544868541596E-5</v>
      </c>
      <c r="H195" s="34">
        <v>13000</v>
      </c>
      <c r="I195" s="33">
        <v>12</v>
      </c>
      <c r="J195" s="71">
        <v>7.9092544868541596E-5</v>
      </c>
      <c r="K195" s="34">
        <v>13000</v>
      </c>
      <c r="L195" s="72">
        <v>0</v>
      </c>
      <c r="M195" s="7"/>
    </row>
    <row r="196" spans="1:13" x14ac:dyDescent="0.2">
      <c r="A196" s="10">
        <f>A195+2</f>
        <v>310</v>
      </c>
      <c r="B196" s="64" t="s">
        <v>27</v>
      </c>
      <c r="C196" s="65">
        <v>1954</v>
      </c>
      <c r="D196" s="61">
        <v>269687</v>
      </c>
      <c r="E196" s="60">
        <v>981680000</v>
      </c>
      <c r="F196" s="61">
        <v>9</v>
      </c>
      <c r="G196" s="71">
        <v>3.3372020156700173E-5</v>
      </c>
      <c r="H196" s="34">
        <v>7500</v>
      </c>
      <c r="I196" s="33">
        <v>9</v>
      </c>
      <c r="J196" s="71">
        <v>3.3372020156700173E-5</v>
      </c>
      <c r="K196" s="34">
        <v>7500</v>
      </c>
      <c r="L196" s="72">
        <v>0</v>
      </c>
      <c r="M196" s="7"/>
    </row>
    <row r="197" spans="1:13" x14ac:dyDescent="0.2">
      <c r="A197" s="10">
        <f>A196+2</f>
        <v>312</v>
      </c>
      <c r="B197" s="64" t="s">
        <v>27</v>
      </c>
      <c r="C197" s="65">
        <v>1955</v>
      </c>
      <c r="D197" s="61">
        <v>216188</v>
      </c>
      <c r="E197" s="60">
        <v>633925500</v>
      </c>
      <c r="F197" s="61">
        <v>41</v>
      </c>
      <c r="G197" s="71">
        <v>1.8964974929228264E-4</v>
      </c>
      <c r="H197" s="34">
        <v>40000</v>
      </c>
      <c r="I197" s="33">
        <v>41</v>
      </c>
      <c r="J197" s="71">
        <v>1.8964974929228264E-4</v>
      </c>
      <c r="K197" s="34">
        <v>40000</v>
      </c>
      <c r="L197" s="72">
        <v>0</v>
      </c>
      <c r="M197" s="7"/>
    </row>
    <row r="198" spans="1:13" x14ac:dyDescent="0.2">
      <c r="A198" s="10">
        <f>A197+2</f>
        <v>314</v>
      </c>
      <c r="B198" s="64" t="s">
        <v>27</v>
      </c>
      <c r="C198" s="65">
        <v>1956</v>
      </c>
      <c r="D198" s="61">
        <v>151323</v>
      </c>
      <c r="E198" s="60">
        <v>318825500</v>
      </c>
      <c r="F198" s="61">
        <v>20</v>
      </c>
      <c r="G198" s="71">
        <v>1.3216761496930406E-4</v>
      </c>
      <c r="H198" s="34">
        <v>8500</v>
      </c>
      <c r="I198" s="33">
        <v>20</v>
      </c>
      <c r="J198" s="71">
        <v>1.3216761496930406E-4</v>
      </c>
      <c r="K198" s="34">
        <v>8500</v>
      </c>
      <c r="L198" s="72">
        <v>0</v>
      </c>
      <c r="M198" s="7"/>
    </row>
    <row r="199" spans="1:13" x14ac:dyDescent="0.2">
      <c r="A199" s="10">
        <f>A198+2</f>
        <v>316</v>
      </c>
      <c r="B199" s="64" t="s">
        <v>27</v>
      </c>
      <c r="C199" s="65">
        <v>1957</v>
      </c>
      <c r="D199" s="61">
        <v>26850</v>
      </c>
      <c r="E199" s="60">
        <v>53978500</v>
      </c>
      <c r="F199" s="61">
        <v>7</v>
      </c>
      <c r="G199" s="71">
        <v>2.6070763500931097E-4</v>
      </c>
      <c r="H199" s="34">
        <v>5000</v>
      </c>
      <c r="I199" s="33">
        <v>7</v>
      </c>
      <c r="J199" s="71">
        <v>2.6070763500931097E-4</v>
      </c>
      <c r="K199" s="34">
        <v>5000</v>
      </c>
      <c r="L199" s="72">
        <v>0</v>
      </c>
      <c r="M199" s="7"/>
    </row>
    <row r="200" spans="1:13" x14ac:dyDescent="0.2">
      <c r="B200" s="74" t="s">
        <v>56</v>
      </c>
      <c r="C200" s="67"/>
      <c r="D200" s="45">
        <v>936780</v>
      </c>
      <c r="E200" s="68">
        <v>2583273000</v>
      </c>
      <c r="F200" s="45">
        <v>107</v>
      </c>
      <c r="G200" s="47">
        <v>1.1422105510365294E-4</v>
      </c>
      <c r="H200" s="46">
        <v>86500</v>
      </c>
      <c r="I200" s="45">
        <v>107</v>
      </c>
      <c r="J200" s="47">
        <v>1.1422105510365294E-4</v>
      </c>
      <c r="K200" s="46">
        <v>86500</v>
      </c>
      <c r="L200" s="45">
        <v>0</v>
      </c>
    </row>
    <row r="201" spans="1:13" x14ac:dyDescent="0.2"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</row>
    <row r="202" spans="1:13" x14ac:dyDescent="0.2">
      <c r="B202" s="51" t="s">
        <v>57</v>
      </c>
      <c r="C202" s="52"/>
      <c r="D202" s="53"/>
      <c r="E202" s="54"/>
      <c r="F202" s="18" t="s">
        <v>80</v>
      </c>
      <c r="G202" s="19"/>
      <c r="H202" s="20"/>
      <c r="I202" s="18" t="s">
        <v>81</v>
      </c>
      <c r="J202" s="19"/>
      <c r="K202" s="20"/>
      <c r="L202" s="55" t="s">
        <v>1</v>
      </c>
    </row>
    <row r="203" spans="1:13" x14ac:dyDescent="0.2">
      <c r="B203" s="56" t="s">
        <v>31</v>
      </c>
      <c r="C203" s="57" t="s">
        <v>32</v>
      </c>
      <c r="D203" s="26" t="s">
        <v>3</v>
      </c>
      <c r="E203" s="25" t="s">
        <v>4</v>
      </c>
      <c r="F203" s="26" t="s">
        <v>3</v>
      </c>
      <c r="G203" s="27" t="s">
        <v>5</v>
      </c>
      <c r="H203" s="28" t="s">
        <v>6</v>
      </c>
      <c r="I203" s="26" t="s">
        <v>3</v>
      </c>
      <c r="J203" s="27" t="s">
        <v>5</v>
      </c>
      <c r="K203" s="28" t="s">
        <v>6</v>
      </c>
      <c r="L203" s="29" t="s">
        <v>7</v>
      </c>
    </row>
    <row r="204" spans="1:13" x14ac:dyDescent="0.2">
      <c r="A204" s="10">
        <f>1980</f>
        <v>1980</v>
      </c>
      <c r="B204" s="64" t="s">
        <v>8</v>
      </c>
      <c r="C204" s="81">
        <v>1980</v>
      </c>
      <c r="D204" s="61">
        <v>67520081</v>
      </c>
      <c r="E204" s="60">
        <v>5708662575</v>
      </c>
      <c r="F204" s="61">
        <v>1436512</v>
      </c>
      <c r="G204" s="71">
        <v>2.1275329927403375E-2</v>
      </c>
      <c r="H204" s="34">
        <v>436118692</v>
      </c>
      <c r="I204" s="33">
        <v>1428484</v>
      </c>
      <c r="J204" s="71">
        <v>2.1156431965773263E-2</v>
      </c>
      <c r="K204" s="34">
        <v>432872629</v>
      </c>
      <c r="L204" s="72">
        <v>-8028</v>
      </c>
    </row>
    <row r="205" spans="1:13" x14ac:dyDescent="0.2">
      <c r="A205" s="10">
        <f>A204+1</f>
        <v>1981</v>
      </c>
      <c r="B205" s="64" t="s">
        <v>8</v>
      </c>
      <c r="C205" s="81">
        <v>1981</v>
      </c>
      <c r="D205" s="61">
        <v>77034927</v>
      </c>
      <c r="E205" s="60">
        <v>6405201675</v>
      </c>
      <c r="F205" s="61">
        <v>1836283</v>
      </c>
      <c r="G205" s="71">
        <v>2.3837018759036405E-2</v>
      </c>
      <c r="H205" s="34">
        <v>489939824</v>
      </c>
      <c r="I205" s="33">
        <v>1825419</v>
      </c>
      <c r="J205" s="71">
        <v>2.369599181939901E-2</v>
      </c>
      <c r="K205" s="34">
        <v>486672298</v>
      </c>
      <c r="L205" s="72">
        <v>-10864</v>
      </c>
    </row>
    <row r="206" spans="1:13" x14ac:dyDescent="0.2">
      <c r="A206" s="10">
        <f t="shared" ref="A206:A233" si="7">A205+1</f>
        <v>1982</v>
      </c>
      <c r="B206" s="64" t="s">
        <v>8</v>
      </c>
      <c r="C206" s="81">
        <v>1982</v>
      </c>
      <c r="D206" s="61">
        <v>69211990</v>
      </c>
      <c r="E206" s="60">
        <v>6383746550</v>
      </c>
      <c r="F206" s="61">
        <v>2052655</v>
      </c>
      <c r="G206" s="71">
        <v>2.9657505874343449E-2</v>
      </c>
      <c r="H206" s="34">
        <v>615373020</v>
      </c>
      <c r="I206" s="33">
        <v>2039565</v>
      </c>
      <c r="J206" s="71">
        <v>2.9468376794251978E-2</v>
      </c>
      <c r="K206" s="34">
        <v>610577696</v>
      </c>
      <c r="L206" s="72">
        <v>-13090</v>
      </c>
    </row>
    <row r="207" spans="1:13" x14ac:dyDescent="0.2">
      <c r="A207" s="10">
        <f t="shared" si="7"/>
        <v>1983</v>
      </c>
      <c r="B207" s="64" t="s">
        <v>8</v>
      </c>
      <c r="C207" s="81">
        <v>1983</v>
      </c>
      <c r="D207" s="61">
        <v>70257401</v>
      </c>
      <c r="E207" s="60">
        <v>7866516050</v>
      </c>
      <c r="F207" s="61">
        <v>2498899</v>
      </c>
      <c r="G207" s="71">
        <v>3.5567768867510487E-2</v>
      </c>
      <c r="H207" s="34">
        <v>763785084</v>
      </c>
      <c r="I207" s="33">
        <v>2482487</v>
      </c>
      <c r="J207" s="71">
        <v>3.533417070181688E-2</v>
      </c>
      <c r="K207" s="34">
        <v>757563898</v>
      </c>
      <c r="L207" s="72">
        <v>-16412</v>
      </c>
    </row>
    <row r="208" spans="1:13" x14ac:dyDescent="0.2">
      <c r="A208" s="10">
        <f t="shared" si="7"/>
        <v>1984</v>
      </c>
      <c r="B208" s="64" t="s">
        <v>8</v>
      </c>
      <c r="C208" s="81">
        <v>1984</v>
      </c>
      <c r="D208" s="61">
        <v>73150906</v>
      </c>
      <c r="E208" s="60">
        <v>8037286300</v>
      </c>
      <c r="F208" s="61">
        <v>3056450</v>
      </c>
      <c r="G208" s="71">
        <v>4.1782804439906729E-2</v>
      </c>
      <c r="H208" s="34">
        <v>872087204</v>
      </c>
      <c r="I208" s="33">
        <v>3035721</v>
      </c>
      <c r="J208" s="71">
        <v>4.1499431326250426E-2</v>
      </c>
      <c r="K208" s="34">
        <v>864192915</v>
      </c>
      <c r="L208" s="72">
        <v>-20729</v>
      </c>
    </row>
    <row r="209" spans="1:12" x14ac:dyDescent="0.2">
      <c r="A209" s="10">
        <f t="shared" si="7"/>
        <v>1985</v>
      </c>
      <c r="B209" s="64" t="s">
        <v>8</v>
      </c>
      <c r="C209" s="81">
        <v>1985</v>
      </c>
      <c r="D209" s="61">
        <v>80292877</v>
      </c>
      <c r="E209" s="60">
        <v>11023643500</v>
      </c>
      <c r="F209" s="61">
        <v>3916578</v>
      </c>
      <c r="G209" s="71">
        <v>4.8778648198145896E-2</v>
      </c>
      <c r="H209" s="34">
        <v>1417298022</v>
      </c>
      <c r="I209" s="33">
        <v>3888714</v>
      </c>
      <c r="J209" s="71">
        <v>4.8431618660270452E-2</v>
      </c>
      <c r="K209" s="34">
        <v>1402257181</v>
      </c>
      <c r="L209" s="72">
        <v>-27864</v>
      </c>
    </row>
    <row r="210" spans="1:12" x14ac:dyDescent="0.2">
      <c r="A210" s="10">
        <f t="shared" si="7"/>
        <v>1986</v>
      </c>
      <c r="B210" s="64" t="s">
        <v>8</v>
      </c>
      <c r="C210" s="81">
        <v>1986</v>
      </c>
      <c r="D210" s="61">
        <v>100235098</v>
      </c>
      <c r="E210" s="60">
        <v>23973818025</v>
      </c>
      <c r="F210" s="61">
        <v>5990970</v>
      </c>
      <c r="G210" s="71">
        <v>5.9769183844166039E-2</v>
      </c>
      <c r="H210" s="34">
        <v>3617813834</v>
      </c>
      <c r="I210" s="33">
        <v>5942152</v>
      </c>
      <c r="J210" s="71">
        <v>5.9282148853687953E-2</v>
      </c>
      <c r="K210" s="34">
        <v>3574237788</v>
      </c>
      <c r="L210" s="72">
        <v>-48818</v>
      </c>
    </row>
    <row r="211" spans="1:12" x14ac:dyDescent="0.2">
      <c r="A211" s="10">
        <f t="shared" si="7"/>
        <v>1987</v>
      </c>
      <c r="B211" s="64" t="s">
        <v>8</v>
      </c>
      <c r="C211" s="81">
        <v>1987</v>
      </c>
      <c r="D211" s="61">
        <v>94991617</v>
      </c>
      <c r="E211" s="60">
        <v>13899620475</v>
      </c>
      <c r="F211" s="61">
        <v>6196473</v>
      </c>
      <c r="G211" s="71">
        <v>6.5231787769230207E-2</v>
      </c>
      <c r="H211" s="34">
        <v>2102158760</v>
      </c>
      <c r="I211" s="33">
        <v>6147007</v>
      </c>
      <c r="J211" s="71">
        <v>6.4711047081133483E-2</v>
      </c>
      <c r="K211" s="34">
        <v>2079372332</v>
      </c>
      <c r="L211" s="72">
        <v>-49466</v>
      </c>
    </row>
    <row r="212" spans="1:12" x14ac:dyDescent="0.2">
      <c r="A212" s="10">
        <f t="shared" si="7"/>
        <v>1988</v>
      </c>
      <c r="B212" s="64" t="s">
        <v>8</v>
      </c>
      <c r="C212" s="81">
        <v>1988</v>
      </c>
      <c r="D212" s="61">
        <v>100055202</v>
      </c>
      <c r="E212" s="60">
        <v>14991168400</v>
      </c>
      <c r="F212" s="61">
        <v>7716629</v>
      </c>
      <c r="G212" s="71">
        <v>7.7123716166201936E-2</v>
      </c>
      <c r="H212" s="34">
        <v>2688395080</v>
      </c>
      <c r="I212" s="33">
        <v>7650153</v>
      </c>
      <c r="J212" s="71">
        <v>7.6459322924559189E-2</v>
      </c>
      <c r="K212" s="34">
        <v>2656833800</v>
      </c>
      <c r="L212" s="72">
        <v>-66476</v>
      </c>
    </row>
    <row r="213" spans="1:12" x14ac:dyDescent="0.2">
      <c r="A213" s="10">
        <f t="shared" si="7"/>
        <v>1989</v>
      </c>
      <c r="B213" s="64" t="s">
        <v>8</v>
      </c>
      <c r="C213" s="81">
        <v>1989</v>
      </c>
      <c r="D213" s="61">
        <v>100484501</v>
      </c>
      <c r="E213" s="60">
        <v>15283041050</v>
      </c>
      <c r="F213" s="61">
        <v>9114828</v>
      </c>
      <c r="G213" s="71">
        <v>9.0708794981227997E-2</v>
      </c>
      <c r="H213" s="34">
        <v>3218509521</v>
      </c>
      <c r="I213" s="33">
        <v>9019682</v>
      </c>
      <c r="J213" s="71">
        <v>8.9761922587444601E-2</v>
      </c>
      <c r="K213" s="34">
        <v>3173981397</v>
      </c>
      <c r="L213" s="72">
        <v>-95146</v>
      </c>
    </row>
    <row r="214" spans="1:12" x14ac:dyDescent="0.2">
      <c r="A214" s="10">
        <f t="shared" si="7"/>
        <v>1990</v>
      </c>
      <c r="B214" s="64" t="s">
        <v>8</v>
      </c>
      <c r="C214" s="65">
        <v>1990</v>
      </c>
      <c r="D214" s="61">
        <v>96373199</v>
      </c>
      <c r="E214" s="60">
        <v>16153279500</v>
      </c>
      <c r="F214" s="61">
        <v>10158438</v>
      </c>
      <c r="G214" s="71">
        <v>0.10540729274743697</v>
      </c>
      <c r="H214" s="34">
        <v>3917004169</v>
      </c>
      <c r="I214" s="33">
        <v>10754624</v>
      </c>
      <c r="J214" s="71">
        <v>0.111593514707341</v>
      </c>
      <c r="K214" s="34">
        <v>4309900307</v>
      </c>
      <c r="L214" s="72">
        <v>596186</v>
      </c>
    </row>
    <row r="215" spans="1:12" hidden="1" x14ac:dyDescent="0.2">
      <c r="A215" s="10">
        <f t="shared" si="7"/>
        <v>1991</v>
      </c>
      <c r="B215" s="64" t="s">
        <v>8</v>
      </c>
      <c r="C215" s="81" t="s">
        <v>59</v>
      </c>
      <c r="D215" s="61">
        <v>0</v>
      </c>
      <c r="E215" s="60">
        <v>0</v>
      </c>
      <c r="F215" s="61">
        <v>0</v>
      </c>
      <c r="G215" s="71" t="b">
        <v>0</v>
      </c>
      <c r="H215" s="34">
        <v>0</v>
      </c>
      <c r="I215" s="33">
        <v>0</v>
      </c>
      <c r="J215" s="71" t="b">
        <v>0</v>
      </c>
      <c r="K215" s="34">
        <v>0</v>
      </c>
      <c r="L215" s="72">
        <v>0</v>
      </c>
    </row>
    <row r="216" spans="1:12" hidden="1" x14ac:dyDescent="0.2">
      <c r="A216" s="10">
        <f t="shared" si="7"/>
        <v>1992</v>
      </c>
      <c r="B216" s="64" t="s">
        <v>8</v>
      </c>
      <c r="C216" s="81" t="s">
        <v>60</v>
      </c>
      <c r="D216" s="61">
        <v>0</v>
      </c>
      <c r="E216" s="60">
        <v>0</v>
      </c>
      <c r="F216" s="61">
        <v>0</v>
      </c>
      <c r="G216" s="71" t="b">
        <v>0</v>
      </c>
      <c r="H216" s="34">
        <v>0</v>
      </c>
      <c r="I216" s="33">
        <v>0</v>
      </c>
      <c r="J216" s="71" t="b">
        <v>0</v>
      </c>
      <c r="K216" s="34">
        <v>0</v>
      </c>
      <c r="L216" s="72">
        <v>0</v>
      </c>
    </row>
    <row r="217" spans="1:12" hidden="1" x14ac:dyDescent="0.2">
      <c r="A217" s="10">
        <f t="shared" si="7"/>
        <v>1993</v>
      </c>
      <c r="B217" s="64" t="s">
        <v>8</v>
      </c>
      <c r="C217" s="81" t="s">
        <v>61</v>
      </c>
      <c r="D217" s="61">
        <v>0</v>
      </c>
      <c r="E217" s="60">
        <v>0</v>
      </c>
      <c r="F217" s="61">
        <v>0</v>
      </c>
      <c r="G217" s="71" t="b">
        <v>0</v>
      </c>
      <c r="H217" s="34">
        <v>0</v>
      </c>
      <c r="I217" s="33">
        <v>0</v>
      </c>
      <c r="J217" s="71" t="b">
        <v>0</v>
      </c>
      <c r="K217" s="34">
        <v>0</v>
      </c>
      <c r="L217" s="72">
        <v>0</v>
      </c>
    </row>
    <row r="218" spans="1:12" hidden="1" x14ac:dyDescent="0.2">
      <c r="A218" s="10">
        <f t="shared" si="7"/>
        <v>1994</v>
      </c>
      <c r="B218" s="64" t="s">
        <v>8</v>
      </c>
      <c r="C218" s="81" t="s">
        <v>62</v>
      </c>
      <c r="D218" s="61">
        <v>0</v>
      </c>
      <c r="E218" s="60">
        <v>0</v>
      </c>
      <c r="F218" s="61">
        <v>0</v>
      </c>
      <c r="G218" s="71" t="b">
        <v>0</v>
      </c>
      <c r="H218" s="34">
        <v>0</v>
      </c>
      <c r="I218" s="33">
        <v>0</v>
      </c>
      <c r="J218" s="71" t="b">
        <v>0</v>
      </c>
      <c r="K218" s="34">
        <v>0</v>
      </c>
      <c r="L218" s="72">
        <v>0</v>
      </c>
    </row>
    <row r="219" spans="1:12" hidden="1" x14ac:dyDescent="0.2">
      <c r="A219" s="10">
        <f t="shared" si="7"/>
        <v>1995</v>
      </c>
      <c r="B219" s="64" t="s">
        <v>8</v>
      </c>
      <c r="C219" s="81" t="s">
        <v>63</v>
      </c>
      <c r="D219" s="61">
        <v>0</v>
      </c>
      <c r="E219" s="60">
        <v>0</v>
      </c>
      <c r="F219" s="61">
        <v>0</v>
      </c>
      <c r="G219" s="71" t="b">
        <v>0</v>
      </c>
      <c r="H219" s="34">
        <v>0</v>
      </c>
      <c r="I219" s="33">
        <v>0</v>
      </c>
      <c r="J219" s="71" t="b">
        <v>0</v>
      </c>
      <c r="K219" s="34">
        <v>0</v>
      </c>
      <c r="L219" s="72">
        <v>0</v>
      </c>
    </row>
    <row r="220" spans="1:12" hidden="1" x14ac:dyDescent="0.2">
      <c r="A220" s="10">
        <f t="shared" si="7"/>
        <v>1996</v>
      </c>
      <c r="B220" s="64" t="s">
        <v>8</v>
      </c>
      <c r="C220" s="81" t="s">
        <v>64</v>
      </c>
      <c r="D220" s="61">
        <v>0</v>
      </c>
      <c r="E220" s="60">
        <v>0</v>
      </c>
      <c r="F220" s="61">
        <v>0</v>
      </c>
      <c r="G220" s="71" t="b">
        <v>0</v>
      </c>
      <c r="H220" s="34">
        <v>0</v>
      </c>
      <c r="I220" s="33">
        <v>0</v>
      </c>
      <c r="J220" s="71" t="b">
        <v>0</v>
      </c>
      <c r="K220" s="34">
        <v>0</v>
      </c>
      <c r="L220" s="72">
        <v>0</v>
      </c>
    </row>
    <row r="221" spans="1:12" hidden="1" x14ac:dyDescent="0.2">
      <c r="A221" s="10">
        <f t="shared" si="7"/>
        <v>1997</v>
      </c>
      <c r="B221" s="64" t="s">
        <v>8</v>
      </c>
      <c r="C221" s="81" t="s">
        <v>65</v>
      </c>
      <c r="D221" s="61">
        <v>0</v>
      </c>
      <c r="E221" s="60">
        <v>0</v>
      </c>
      <c r="F221" s="61">
        <v>0</v>
      </c>
      <c r="G221" s="71" t="b">
        <v>0</v>
      </c>
      <c r="H221" s="34">
        <v>0</v>
      </c>
      <c r="I221" s="33">
        <v>0</v>
      </c>
      <c r="J221" s="71" t="b">
        <v>0</v>
      </c>
      <c r="K221" s="34">
        <v>0</v>
      </c>
      <c r="L221" s="72">
        <v>0</v>
      </c>
    </row>
    <row r="222" spans="1:12" hidden="1" x14ac:dyDescent="0.2">
      <c r="A222" s="10">
        <f t="shared" si="7"/>
        <v>1998</v>
      </c>
      <c r="B222" s="64" t="s">
        <v>8</v>
      </c>
      <c r="C222" s="81" t="s">
        <v>66</v>
      </c>
      <c r="D222" s="61">
        <v>0</v>
      </c>
      <c r="E222" s="60">
        <v>0</v>
      </c>
      <c r="F222" s="61">
        <v>0</v>
      </c>
      <c r="G222" s="71" t="b">
        <v>0</v>
      </c>
      <c r="H222" s="34">
        <v>0</v>
      </c>
      <c r="I222" s="33">
        <v>0</v>
      </c>
      <c r="J222" s="71" t="b">
        <v>0</v>
      </c>
      <c r="K222" s="34">
        <v>0</v>
      </c>
      <c r="L222" s="72">
        <v>0</v>
      </c>
    </row>
    <row r="223" spans="1:12" hidden="1" x14ac:dyDescent="0.2">
      <c r="A223" s="10">
        <f t="shared" si="7"/>
        <v>1999</v>
      </c>
      <c r="B223" s="64" t="s">
        <v>8</v>
      </c>
      <c r="C223" s="81" t="s">
        <v>67</v>
      </c>
      <c r="D223" s="61">
        <v>0</v>
      </c>
      <c r="E223" s="60">
        <v>0</v>
      </c>
      <c r="F223" s="61">
        <v>0</v>
      </c>
      <c r="G223" s="71" t="b">
        <v>0</v>
      </c>
      <c r="H223" s="34">
        <v>0</v>
      </c>
      <c r="I223" s="33">
        <v>0</v>
      </c>
      <c r="J223" s="71" t="b">
        <v>0</v>
      </c>
      <c r="K223" s="34">
        <v>0</v>
      </c>
      <c r="L223" s="72">
        <v>0</v>
      </c>
    </row>
    <row r="224" spans="1:12" hidden="1" x14ac:dyDescent="0.2">
      <c r="A224" s="10">
        <f t="shared" si="7"/>
        <v>2000</v>
      </c>
      <c r="B224" s="64" t="s">
        <v>8</v>
      </c>
      <c r="C224" s="81" t="s">
        <v>68</v>
      </c>
      <c r="D224" s="61">
        <v>0</v>
      </c>
      <c r="E224" s="60">
        <v>0</v>
      </c>
      <c r="F224" s="61">
        <v>0</v>
      </c>
      <c r="G224" s="71" t="b">
        <v>0</v>
      </c>
      <c r="H224" s="34">
        <v>0</v>
      </c>
      <c r="I224" s="33">
        <v>0</v>
      </c>
      <c r="J224" s="71" t="b">
        <v>0</v>
      </c>
      <c r="K224" s="34">
        <v>0</v>
      </c>
      <c r="L224" s="72">
        <v>0</v>
      </c>
    </row>
    <row r="225" spans="1:12" hidden="1" x14ac:dyDescent="0.2">
      <c r="A225" s="10">
        <f t="shared" si="7"/>
        <v>2001</v>
      </c>
      <c r="B225" s="64" t="s">
        <v>8</v>
      </c>
      <c r="C225" s="81" t="s">
        <v>69</v>
      </c>
      <c r="D225" s="61">
        <v>0</v>
      </c>
      <c r="E225" s="60">
        <v>0</v>
      </c>
      <c r="F225" s="61">
        <v>0</v>
      </c>
      <c r="G225" s="71" t="b">
        <v>0</v>
      </c>
      <c r="H225" s="34">
        <v>0</v>
      </c>
      <c r="I225" s="33">
        <v>0</v>
      </c>
      <c r="J225" s="71" t="b">
        <v>0</v>
      </c>
      <c r="K225" s="34">
        <v>0</v>
      </c>
      <c r="L225" s="72">
        <v>0</v>
      </c>
    </row>
    <row r="226" spans="1:12" hidden="1" x14ac:dyDescent="0.2">
      <c r="A226" s="10">
        <f t="shared" si="7"/>
        <v>2002</v>
      </c>
      <c r="B226" s="64" t="s">
        <v>8</v>
      </c>
      <c r="C226" s="81" t="s">
        <v>70</v>
      </c>
      <c r="D226" s="61">
        <v>0</v>
      </c>
      <c r="E226" s="60">
        <v>0</v>
      </c>
      <c r="F226" s="61">
        <v>0</v>
      </c>
      <c r="G226" s="71" t="b">
        <v>0</v>
      </c>
      <c r="H226" s="34">
        <v>0</v>
      </c>
      <c r="I226" s="33">
        <v>0</v>
      </c>
      <c r="J226" s="71" t="b">
        <v>0</v>
      </c>
      <c r="K226" s="34">
        <v>0</v>
      </c>
      <c r="L226" s="72">
        <v>0</v>
      </c>
    </row>
    <row r="227" spans="1:12" hidden="1" x14ac:dyDescent="0.2">
      <c r="A227" s="10">
        <f t="shared" si="7"/>
        <v>2003</v>
      </c>
      <c r="B227" s="64" t="s">
        <v>8</v>
      </c>
      <c r="C227" s="81" t="s">
        <v>71</v>
      </c>
      <c r="D227" s="61">
        <v>0</v>
      </c>
      <c r="E227" s="60">
        <v>0</v>
      </c>
      <c r="F227" s="61">
        <v>0</v>
      </c>
      <c r="G227" s="71" t="b">
        <v>0</v>
      </c>
      <c r="H227" s="34">
        <v>0</v>
      </c>
      <c r="I227" s="33">
        <v>0</v>
      </c>
      <c r="J227" s="71" t="b">
        <v>0</v>
      </c>
      <c r="K227" s="34">
        <v>0</v>
      </c>
      <c r="L227" s="72">
        <v>0</v>
      </c>
    </row>
    <row r="228" spans="1:12" hidden="1" x14ac:dyDescent="0.2">
      <c r="A228" s="10">
        <f t="shared" si="7"/>
        <v>2004</v>
      </c>
      <c r="B228" s="64" t="s">
        <v>8</v>
      </c>
      <c r="C228" s="81" t="s">
        <v>72</v>
      </c>
      <c r="D228" s="61">
        <v>0</v>
      </c>
      <c r="E228" s="60">
        <v>0</v>
      </c>
      <c r="F228" s="61">
        <v>0</v>
      </c>
      <c r="G228" s="71" t="b">
        <v>0</v>
      </c>
      <c r="H228" s="34">
        <v>0</v>
      </c>
      <c r="I228" s="33">
        <v>0</v>
      </c>
      <c r="J228" s="71" t="b">
        <v>0</v>
      </c>
      <c r="K228" s="34">
        <v>0</v>
      </c>
      <c r="L228" s="72">
        <v>0</v>
      </c>
    </row>
    <row r="229" spans="1:12" hidden="1" x14ac:dyDescent="0.2">
      <c r="A229" s="10">
        <f t="shared" si="7"/>
        <v>2005</v>
      </c>
      <c r="B229" s="64" t="s">
        <v>8</v>
      </c>
      <c r="C229" s="81" t="s">
        <v>73</v>
      </c>
      <c r="D229" s="61">
        <v>0</v>
      </c>
      <c r="E229" s="60">
        <v>0</v>
      </c>
      <c r="F229" s="61">
        <v>0</v>
      </c>
      <c r="G229" s="71" t="b">
        <v>0</v>
      </c>
      <c r="H229" s="34">
        <v>0</v>
      </c>
      <c r="I229" s="33">
        <v>0</v>
      </c>
      <c r="J229" s="71" t="b">
        <v>0</v>
      </c>
      <c r="K229" s="34">
        <v>0</v>
      </c>
      <c r="L229" s="72">
        <v>0</v>
      </c>
    </row>
    <row r="230" spans="1:12" hidden="1" x14ac:dyDescent="0.2">
      <c r="A230" s="10">
        <f t="shared" si="7"/>
        <v>2006</v>
      </c>
      <c r="B230" s="64" t="s">
        <v>8</v>
      </c>
      <c r="C230" s="81" t="s">
        <v>74</v>
      </c>
      <c r="D230" s="61">
        <v>0</v>
      </c>
      <c r="E230" s="60">
        <v>0</v>
      </c>
      <c r="F230" s="61">
        <v>0</v>
      </c>
      <c r="G230" s="71" t="b">
        <v>0</v>
      </c>
      <c r="H230" s="34">
        <v>0</v>
      </c>
      <c r="I230" s="33">
        <v>0</v>
      </c>
      <c r="J230" s="71" t="b">
        <v>0</v>
      </c>
      <c r="K230" s="34">
        <v>0</v>
      </c>
      <c r="L230" s="72">
        <v>0</v>
      </c>
    </row>
    <row r="231" spans="1:12" hidden="1" x14ac:dyDescent="0.2">
      <c r="A231" s="10">
        <f t="shared" si="7"/>
        <v>2007</v>
      </c>
      <c r="B231" s="64" t="s">
        <v>8</v>
      </c>
      <c r="C231" s="81" t="s">
        <v>75</v>
      </c>
      <c r="D231" s="61">
        <v>0</v>
      </c>
      <c r="E231" s="60">
        <v>0</v>
      </c>
      <c r="F231" s="61">
        <v>0</v>
      </c>
      <c r="G231" s="71" t="b">
        <v>0</v>
      </c>
      <c r="H231" s="34">
        <v>0</v>
      </c>
      <c r="I231" s="33">
        <v>0</v>
      </c>
      <c r="J231" s="71" t="b">
        <v>0</v>
      </c>
      <c r="K231" s="34">
        <v>0</v>
      </c>
      <c r="L231" s="72">
        <v>0</v>
      </c>
    </row>
    <row r="232" spans="1:12" hidden="1" x14ac:dyDescent="0.2">
      <c r="A232" s="10">
        <f t="shared" si="7"/>
        <v>2008</v>
      </c>
      <c r="B232" s="64" t="s">
        <v>8</v>
      </c>
      <c r="C232" s="81" t="s">
        <v>76</v>
      </c>
      <c r="D232" s="61">
        <v>0</v>
      </c>
      <c r="E232" s="60">
        <v>0</v>
      </c>
      <c r="F232" s="61">
        <v>0</v>
      </c>
      <c r="G232" s="71" t="b">
        <v>0</v>
      </c>
      <c r="H232" s="34">
        <v>0</v>
      </c>
      <c r="I232" s="33">
        <v>0</v>
      </c>
      <c r="J232" s="71" t="b">
        <v>0</v>
      </c>
      <c r="K232" s="34">
        <v>0</v>
      </c>
      <c r="L232" s="72">
        <v>0</v>
      </c>
    </row>
    <row r="233" spans="1:12" hidden="1" x14ac:dyDescent="0.2">
      <c r="A233" s="10">
        <f t="shared" si="7"/>
        <v>2009</v>
      </c>
      <c r="B233" s="64" t="s">
        <v>8</v>
      </c>
      <c r="C233" s="81" t="s">
        <v>77</v>
      </c>
      <c r="D233" s="61">
        <v>0</v>
      </c>
      <c r="E233" s="60">
        <v>0</v>
      </c>
      <c r="F233" s="61">
        <v>0</v>
      </c>
      <c r="G233" s="71" t="b">
        <v>0</v>
      </c>
      <c r="H233" s="34">
        <v>0</v>
      </c>
      <c r="I233" s="33">
        <v>0</v>
      </c>
      <c r="J233" s="71" t="b">
        <v>0</v>
      </c>
      <c r="K233" s="34">
        <v>0</v>
      </c>
      <c r="L233" s="72">
        <v>0</v>
      </c>
    </row>
    <row r="234" spans="1:12" x14ac:dyDescent="0.2">
      <c r="B234" s="78" t="s">
        <v>58</v>
      </c>
      <c r="C234" s="79"/>
      <c r="D234" s="45">
        <v>929607799</v>
      </c>
      <c r="E234" s="68">
        <v>129725984100</v>
      </c>
      <c r="F234" s="45">
        <v>53974715</v>
      </c>
      <c r="G234" s="47">
        <v>5.8061813872540453E-2</v>
      </c>
      <c r="H234" s="46">
        <v>20138483210</v>
      </c>
      <c r="I234" s="45">
        <v>54214008</v>
      </c>
      <c r="J234" s="47">
        <v>5.8319226730153544E-2</v>
      </c>
      <c r="K234" s="46">
        <v>20348462241</v>
      </c>
      <c r="L234" s="45">
        <v>239293</v>
      </c>
    </row>
  </sheetData>
  <conditionalFormatting sqref="I19">
    <cfRule type="expression" dxfId="1" priority="2">
      <formula>($I$19&lt;&gt;#REF!)</formula>
    </cfRule>
  </conditionalFormatting>
  <conditionalFormatting sqref="K19">
    <cfRule type="expression" dxfId="0" priority="1">
      <formula>($K$19&lt;&gt;#REF!)</formula>
    </cfRule>
  </conditionalFormatting>
  <printOptions horizontalCentered="1"/>
  <pageMargins left="0.75" right="0.75" top="0.75" bottom="0.5" header="0.5" footer="0.5"/>
  <pageSetup scale="73" fitToHeight="4" orientation="landscape" r:id="rId1"/>
  <headerFooter alignWithMargins="0"/>
  <rowBreaks count="3" manualBreakCount="3">
    <brk id="49" min="1" max="11" man="1"/>
    <brk id="77" min="1" max="11" man="1"/>
    <brk id="149" min="1" max="11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tivityDate xmlns="077ee27c-cd7f-49ea-bbed-c40511799fe1" xsi:nil="true"/>
    <CutOffDate xmlns="077ee27c-cd7f-49ea-bbed-c40511799fe1" xsi:nil="true"/>
    <DeleteDate xmlns="077ee27c-cd7f-49ea-bbed-c40511799fe1" xsi:nil="true"/>
    <DocStatus xmlns="077ee27c-cd7f-49ea-bbed-c40511799fe1">Active</DocStatus>
    <DocInactiveDate xmlns="077ee27c-cd7f-49ea-bbed-c40511799fe1" xsi:nil="true"/>
    <_dlc_DocId xmlns="52222ef0-b167-44f5-92f7-438fda0857cd">FSRTL-743479098-121</_dlc_DocId>
    <_dlc_DocIdUrl xmlns="52222ef0-b167-44f5-92f7-438fda0857cd">
      <Url>https://fiscalservice.treasuryecm.gov/fs/retail/_layouts/15/DocIdRedir.aspx?ID=FSRTL-743479098-121</Url>
      <Description>FSRTL-743479098-121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SharedContentType xmlns="Microsoft.SharePoint.Taxonomy.ContentTypeSync" SourceId="3e6476c5-3e26-437c-afbb-04e466f92e01" ContentTypeId="0x010100F2A49D9997933B479E73B45BD20EE2CE" PreviousValue="false"/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Statistical and Management Reports (Retail Securities) - 3102.10" ma:contentTypeID="0x010100F2A49D9997933B479E73B45BD20EE2CE00A1BC75F17B476C4CA6EB6E80F564AF24003C212A037C355F4CA35DEE34B71B4DB7" ma:contentTypeVersion="103" ma:contentTypeDescription="Statistical and management reports including, but not limited to, securities transaction volume reports, comparative volume reports, and month-end reports. Does not include records used for general accounting purposes.&#10;&#10;Cutoff at end of fiscal year. Destroy 10 years after cutoff." ma:contentTypeScope="" ma:versionID="6f93faa4cb69b9d602cc0bec4776df76">
  <xsd:schema xmlns:xsd="http://www.w3.org/2001/XMLSchema" xmlns:xs="http://www.w3.org/2001/XMLSchema" xmlns:p="http://schemas.microsoft.com/office/2006/metadata/properties" xmlns:ns2="077ee27c-cd7f-49ea-bbed-c40511799fe1" xmlns:ns3="52222ef0-b167-44f5-92f7-438fda0857cd" xmlns:ns4="3b0a9597-0206-4fe9-ad89-d07b833e8361" targetNamespace="http://schemas.microsoft.com/office/2006/metadata/properties" ma:root="true" ma:fieldsID="218c5c17af54bde9e0f9e85c8de9f096" ns2:_="" ns3:_="" ns4:_="">
    <xsd:import namespace="077ee27c-cd7f-49ea-bbed-c40511799fe1"/>
    <xsd:import namespace="52222ef0-b167-44f5-92f7-438fda0857cd"/>
    <xsd:import namespace="3b0a9597-0206-4fe9-ad89-d07b833e8361"/>
    <xsd:element name="properties">
      <xsd:complexType>
        <xsd:sequence>
          <xsd:element name="documentManagement">
            <xsd:complexType>
              <xsd:all>
                <xsd:element ref="ns2:ActivityDate" minOccurs="0"/>
                <xsd:element ref="ns2:DocStatus" minOccurs="0"/>
                <xsd:element ref="ns2:DocInactiveDate" minOccurs="0"/>
                <xsd:element ref="ns3:_dlc_DocIdUrl" minOccurs="0"/>
                <xsd:element ref="ns3:_dlc_DocIdPersistId" minOccurs="0"/>
                <xsd:element ref="ns3:_dlc_DocId" minOccurs="0"/>
                <xsd:element ref="ns2:CutOffDate" minOccurs="0"/>
                <xsd:element ref="ns2:DeleteDate" minOccurs="0"/>
                <xsd:element ref="ns4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7ee27c-cd7f-49ea-bbed-c40511799fe1" elementFormDefault="qualified">
    <xsd:import namespace="http://schemas.microsoft.com/office/2006/documentManagement/types"/>
    <xsd:import namespace="http://schemas.microsoft.com/office/infopath/2007/PartnerControls"/>
    <xsd:element name="ActivityDate" ma:index="2" nillable="true" ma:displayName="Activity Date" ma:format="DateOnly" ma:hidden="true" ma:internalName="ActivityDate" ma:readOnly="false">
      <xsd:simpleType>
        <xsd:restriction base="dms:DateTime"/>
      </xsd:simpleType>
    </xsd:element>
    <xsd:element name="DocStatus" ma:index="3" nillable="true" ma:displayName="Doc Status" ma:default="Active" ma:description="Doc can be set to active (default) or inactive based on disposition rules set forth in file plan for relevant content type" ma:format="Dropdown" ma:hidden="true" ma:internalName="DocStatus" ma:readOnly="false">
      <xsd:simpleType>
        <xsd:restriction base="dms:Choice">
          <xsd:enumeration value="Active"/>
          <xsd:enumeration value="Inactive"/>
          <xsd:enumeration value="Published"/>
          <xsd:enumeration value="On Hold"/>
          <xsd:enumeration value="Waiting on Approval for Distruction"/>
          <xsd:enumeration value="Approved for Destruction"/>
          <xsd:enumeration value="Transfer to NARA"/>
        </xsd:restriction>
      </xsd:simpleType>
    </xsd:element>
    <xsd:element name="DocInactiveDate" ma:index="4" nillable="true" ma:displayName="Doc Inactive Date" ma:description="Date doc is set to inactive based on disposition rules set forth in file plan for relevant content type" ma:format="DateOnly" ma:hidden="true" ma:internalName="DocInactiveDate" ma:readOnly="false">
      <xsd:simpleType>
        <xsd:restriction base="dms:DateTime"/>
      </xsd:simpleType>
    </xsd:element>
    <xsd:element name="CutOffDate" ma:index="14" nillable="true" ma:displayName="Cut Off Date" ma:format="DateOnly" ma:hidden="true" ma:internalName="CutOffDate" ma:readOnly="false">
      <xsd:simpleType>
        <xsd:restriction base="dms:DateTime"/>
      </xsd:simpleType>
    </xsd:element>
    <xsd:element name="DeleteDate" ma:index="15" nillable="true" ma:displayName="Delete Date" ma:format="DateOnly" ma:hidden="true" ma:internalName="DeleteDate" ma:readOnly="fals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222ef0-b167-44f5-92f7-438fda0857cd" elementFormDefault="qualified">
    <xsd:import namespace="http://schemas.microsoft.com/office/2006/documentManagement/types"/>
    <xsd:import namespace="http://schemas.microsoft.com/office/infopath/2007/PartnerControls"/>
    <xsd:element name="_dlc_DocIdUrl" ma:index="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_dlc_DocId" ma:index="12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0a9597-0206-4fe9-ad89-d07b833e836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D05D68-0DD6-452C-B9FA-00B17818A20B}">
  <ds:schemaRefs>
    <ds:schemaRef ds:uri="http://schemas.microsoft.com/office/2006/metadata/properties"/>
    <ds:schemaRef ds:uri="http://schemas.microsoft.com/office/infopath/2007/PartnerControls"/>
    <ds:schemaRef ds:uri="077ee27c-cd7f-49ea-bbed-c40511799fe1"/>
    <ds:schemaRef ds:uri="52222ef0-b167-44f5-92f7-438fda0857cd"/>
  </ds:schemaRefs>
</ds:datastoreItem>
</file>

<file path=customXml/itemProps2.xml><?xml version="1.0" encoding="utf-8"?>
<ds:datastoreItem xmlns:ds="http://schemas.openxmlformats.org/officeDocument/2006/customXml" ds:itemID="{7BDC233D-7E17-4A53-8F0E-62A879C82F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F75B3C-0F7C-461A-BACB-F1BF53031A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8D6CE05-D414-40C8-A5CF-7863D7248F8F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FD1DBE14-7057-46C9-A0D8-1A40F9CFED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7ee27c-cd7f-49ea-bbed-c40511799fe1"/>
    <ds:schemaRef ds:uri="52222ef0-b167-44f5-92f7-438fda0857cd"/>
    <ds:schemaRef ds:uri="3b0a9597-0206-4fe9-ad89-d07b833e83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Catherine N. Rhodes</dc:creator>
  <cp:lastModifiedBy>Elizabeth W. Burke</cp:lastModifiedBy>
  <dcterms:created xsi:type="dcterms:W3CDTF">2020-08-14T11:12:00Z</dcterms:created>
  <dcterms:modified xsi:type="dcterms:W3CDTF">2021-02-02T14:38:46Z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0x010100F2A49D9997933B479E73B45BD20EE2CE00A1BC75F17B476C4CA6EB6E80F564AF24003C212A037C355F4CA35DEE34B71B4DB7</vt:lpwstr>
  </property>
  <property fmtid="{D5CDD505-2E9C-101B-9397-08002B2CF9AE}" pid="3" name="_dlc_DocIdItemGuid">
    <vt:lpwstr>020fbb3e-1e68-49c4-85a1-2b618832ff8b</vt:lpwstr>
  </property>
</Properties>
</file>